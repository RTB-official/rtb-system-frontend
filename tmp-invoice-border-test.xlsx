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120" windowWidth="29040" windowHeight="15720"/>
  </bookViews>
  <sheets>
    <sheet sheetId="1" name="Invoice " state="visible" r:id="rId4"/>
    <sheet sheetId="3" name="Job description" state="visible" r:id="rId5"/>
    <sheet sheetId="5" name="Time Sheet" state="visible" r:id="rId6"/>
    <sheet sheetId="6" name="Currency" state="visible" r:id="rId7"/>
  </sheets>
  <definedNames>
    <definedName name="_xlnm.Print_Area" localSheetId="0">'Invoice '!$A1:$K66</definedName>
    <definedName name="_xlnm.Print_Area" localSheetId="1">'Job description'!$A1:$N46</definedName>
    <definedName name="_xlnm.Print_Area" localSheetId="2">'Time Sheet'!$A1:$N48</definedName>
  </definedNames>
  <calcPr calcId="171027"/>
</workbook>
</file>

<file path=xl/sharedStrings.xml><?xml version="1.0" encoding="utf-8"?>
<sst xmlns="http://schemas.openxmlformats.org/spreadsheetml/2006/main" count="185" uniqueCount="112">
  <si>
    <t xml:space="preserve"> RTB CO., LTD</t>
  </si>
  <si>
    <t>INVOICE</t>
  </si>
  <si>
    <t>Invoice to</t>
  </si>
  <si>
    <t>Job information</t>
  </si>
  <si>
    <t>P.O No:</t>
  </si>
  <si>
    <t/>
  </si>
  <si>
    <t>Everllence</t>
  </si>
  <si>
    <t>Hull no. H3468</t>
  </si>
  <si>
    <t>INVOICE No:</t>
  </si>
  <si>
    <t>a</t>
  </si>
  <si>
    <t>Engine type: 6G60ME</t>
  </si>
  <si>
    <t>Date:</t>
  </si>
  <si>
    <t>15.Jun.2026</t>
  </si>
  <si>
    <t>b</t>
  </si>
  <si>
    <t>Work Period &amp; Place: test</t>
  </si>
  <si>
    <t>Valid For:</t>
  </si>
  <si>
    <t>14 days</t>
  </si>
  <si>
    <t>c</t>
  </si>
  <si>
    <t>Work Item: test</t>
  </si>
  <si>
    <t>Currency unit:</t>
  </si>
  <si>
    <t>KRW</t>
  </si>
  <si>
    <t>Description</t>
  </si>
  <si>
    <t>Q'ty</t>
  </si>
  <si>
    <t>Unit</t>
  </si>
  <si>
    <t>Unit price</t>
  </si>
  <si>
    <t>Total</t>
  </si>
  <si>
    <t xml:space="preserve"> 1. MAN POWER</t>
  </si>
  <si>
    <t>1.1 test</t>
  </si>
  <si>
    <t>MEN</t>
  </si>
  <si>
    <t>: Weekday/ Normal Working Hours</t>
  </si>
  <si>
    <t>1</t>
  </si>
  <si>
    <t>hours</t>
  </si>
  <si>
    <t>1.2</t>
  </si>
  <si>
    <t>MAN</t>
  </si>
  <si>
    <t xml:space="preserve"> 2. Service material (Inc. 10% handling fee)</t>
  </si>
  <si>
    <t>LOT</t>
  </si>
  <si>
    <t>: Oil rags, Molykote, Cleaning oil, Gloves</t>
  </si>
  <si>
    <t xml:space="preserve"> 3. Daily Allowance</t>
  </si>
  <si>
    <t>: x</t>
  </si>
  <si>
    <t>Meals</t>
  </si>
  <si>
    <r>
      <t xml:space="preserve"> 4. Transportation  </t>
    </r>
    <r>
      <rPr>
        <color rgb="FF000000"/>
        <family val="2"/>
        <sz val="14"/>
        <rFont val="Arial"/>
      </rPr>
      <t>(KRW 500/km)</t>
    </r>
  </si>
  <si>
    <t>:  (One-way) x 100km x 1car : 100km</t>
  </si>
  <si>
    <t>Km</t>
  </si>
  <si>
    <t>:  (One-way) x 10km x 1car : 10km</t>
  </si>
  <si>
    <t>* Mileage: RTB to HHI(One-way) : 70km</t>
  </si>
  <si>
    <t xml:space="preserve">                 Hotel to HHI(One-way) : 10km</t>
  </si>
  <si>
    <t xml:space="preserve"> 5. Accomodation  (Inc. 10% handling fee)</t>
  </si>
  <si>
    <t>PC</t>
  </si>
  <si>
    <t>:  Rooms for  people for  nights</t>
  </si>
  <si>
    <t>Grand Total</t>
  </si>
  <si>
    <t xml:space="preserve">KEB HANA Bank exchange rate: 1 EUR (€) = </t>
  </si>
  <si>
    <t xml:space="preserve">Exchange date: 15/07/2025 </t>
  </si>
  <si>
    <t>(excluding VAT)</t>
  </si>
  <si>
    <t>Remark</t>
  </si>
  <si>
    <t xml:space="preserve">1. Terms of payment : within 30 days net cash after job completion </t>
  </si>
  <si>
    <t>Bank account details of RTB</t>
  </si>
  <si>
    <t>Beneficiary name: RTB</t>
  </si>
  <si>
    <t>Beneficiary account no.: 37791000446138</t>
  </si>
  <si>
    <t>Beneficiary address: Jedoro 767-16, Gangseo-gu, Busan, Republic of Korea</t>
  </si>
  <si>
    <t>Beneficiary phone no.: (+82)1099584156</t>
  </si>
  <si>
    <t>Bank name: KEB Hana Bank</t>
  </si>
  <si>
    <t>Swift code: KOEXKRSE or KOEXKRSEXXX</t>
  </si>
  <si>
    <t>Bank address: 467-62 36, Myeongji ocean city 9-ro, Gangseo-gu, Busan, South Korea</t>
  </si>
  <si>
    <t>Bank telephone no.: (+82)512715631</t>
  </si>
  <si>
    <t xml:space="preserve">E-mail: tech01@rtb-kor.com     l     Phone: +82 51 266 7995     l     Fax: +82 51 266 7996    </t>
  </si>
  <si>
    <t>RTB CO.,LTD.  Jedoro 767-16, Gangseo-gu, Busan, Republic of Korea</t>
  </si>
  <si>
    <t>RTB CO., LTD</t>
  </si>
  <si>
    <t xml:space="preserve">JOB DESCRIPTION </t>
  </si>
  <si>
    <t xml:space="preserve"> SHIP NAME</t>
  </si>
  <si>
    <t xml:space="preserve"> Engineer name and Title</t>
  </si>
  <si>
    <t xml:space="preserve"> Work order from</t>
  </si>
  <si>
    <t xml:space="preserve"> Departure date &amp; time, from place</t>
  </si>
  <si>
    <t xml:space="preserve"> Everllence ELU KOREA</t>
  </si>
  <si>
    <t xml:space="preserve"> WORK PLACE</t>
  </si>
  <si>
    <t xml:space="preserve"> Mechanic names and numbers</t>
  </si>
  <si>
    <t xml:space="preserve"> P.O No.</t>
  </si>
  <si>
    <t xml:space="preserve"> Return date &amp; time, to place</t>
  </si>
  <si>
    <t xml:space="preserve"> Description </t>
  </si>
  <si>
    <t xml:space="preserve"> MAN POWER :  Skilled fitter and  fitter () </t>
  </si>
  <si>
    <t>The above manpower carried out the following work as instructed by the Everllence ELU Engineer.</t>
  </si>
  <si>
    <t>1.</t>
  </si>
  <si>
    <t>2.</t>
  </si>
  <si>
    <t>3.</t>
  </si>
  <si>
    <t>Customer representative(s)</t>
  </si>
  <si>
    <t xml:space="preserve">  RTB representative</t>
  </si>
  <si>
    <t>TIMESHEET</t>
  </si>
  <si>
    <t>Indication of date &amp; time</t>
  </si>
  <si>
    <t xml:space="preserve">Total 
Hours</t>
  </si>
  <si>
    <t>Split of Hours</t>
  </si>
  <si>
    <t xml:space="preserve">Mark
Sea-
going
Vessel 
(x)</t>
  </si>
  <si>
    <t>Year</t>
  </si>
  <si>
    <t xml:space="preserve">Time
From</t>
  </si>
  <si>
    <t xml:space="preserve">Time
To</t>
  </si>
  <si>
    <t xml:space="preserve">Weekdays
(within normal working hours,
08:00 to 17:00)</t>
  </si>
  <si>
    <t xml:space="preserve">Saturday, Sunday, and 
local holidays</t>
  </si>
  <si>
    <t xml:space="preserve">Travel
Hours**</t>
  </si>
  <si>
    <t>Day</t>
  </si>
  <si>
    <t>Date</t>
  </si>
  <si>
    <t xml:space="preserve">Normal 
Working</t>
  </si>
  <si>
    <t xml:space="preserve">After Normal
Working</t>
  </si>
  <si>
    <t xml:space="preserve">Normal
Working</t>
  </si>
  <si>
    <t>Weekday</t>
  </si>
  <si>
    <t xml:space="preserve">Weekend
/ Holiday</t>
  </si>
  <si>
    <t xml:space="preserve"> * Normal Working Hours - Weekday: 0800 ~ 1700 LT</t>
  </si>
  <si>
    <t xml:space="preserve"> * Holidays are based on South Korea where Everllence ELU locates and man-powers are being sourced.</t>
  </si>
  <si>
    <t xml:space="preserve"> * For  work up to 4 hours, half a day will be charged. For work in excess of 4 hours up to 8 hours, a full day will be charged.</t>
  </si>
  <si>
    <t xml:space="preserve"> * 12 hours per day are charged when our personnel are requested to sail with the vessel.</t>
  </si>
  <si>
    <t xml:space="preserve"> ** Travelling /Waiting hours on weekends and public holidays will be calculated below.</t>
  </si>
  <si>
    <t xml:space="preserve">  +15% up on the travelling/waiting price agreed.</t>
  </si>
  <si>
    <t xml:space="preserve"> Comments</t>
  </si>
  <si>
    <t xml:space="preserve"> We hereby confirm above mentioned attendance hours and accept the general terms and conditions that are printed overleaf.</t>
  </si>
  <si>
    <t>RTB representative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</si>
</sst>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dimension ref="B1:J66"/>
  <sheetFormatPr defaultRowHeight="15" outlineLevelRow="0" outlineLevelCol="0" defaultColWidth="17.28515625"/>
  <cols>
    <col min="1" max="1" width="1.85546875" customWidth="1"/>
    <col min="2" max="2" width="6.140625" customWidth="1"/>
    <col min="3" max="3" width="22.7109375" customWidth="1"/>
    <col min="4" max="4" width="21.42578125" customWidth="1"/>
    <col min="5" max="5" width="3.7109375" customWidth="1"/>
    <col min="6" max="6" width="39.42578125" customWidth="1"/>
    <col min="7" max="7" width="17.140625" customWidth="1"/>
    <col min="8" max="8" width="11.42578125" customWidth="1"/>
    <col min="9" max="9" width="15.140625" customWidth="1"/>
    <col min="10" max="10" width="30.7109375" customWidth="1"/>
    <col min="11" max="11" width="1.7109375" customWidth="1"/>
  </cols>
  <sheetData>
    <row r="1" ht="30" customHeight="1">
      <c r="B1" t="s">
        <v>0</v>
      </c>
    </row>
    <row r="4" ht="100.15" customHeight="1">
      <c r="B4" t="s">
        <v>1</v>
      </c>
    </row>
    <row r="7" ht="31.15" customHeight="1">
      <c r="B7" t="s">
        <v>2</v>
      </c>
      <c r="F7" t="s">
        <v>3</v>
      </c>
      <c r="I7" t="s">
        <v>4</v>
      </c>
      <c r="J7" t="s">
        <v>5</v>
      </c>
    </row>
    <row r="8" ht="30" customHeight="1">
      <c r="B8" t="s">
        <v>6</v>
      </c>
      <c r="F8" t="s">
        <v>7</v>
      </c>
      <c r="I8" t="s">
        <v>8</v>
      </c>
      <c r="J8" t="s">
        <v>5</v>
      </c>
    </row>
    <row r="9" ht="30" customHeight="1">
      <c r="B9" t="s">
        <v>9</v>
      </c>
      <c r="F9" t="s">
        <v>10</v>
      </c>
      <c r="I9" t="s">
        <v>11</v>
      </c>
      <c r="J9" t="s">
        <v>12</v>
      </c>
    </row>
    <row r="10" ht="30" customHeight="1">
      <c r="B10" t="s">
        <v>13</v>
      </c>
      <c r="F10" t="s">
        <v>14</v>
      </c>
      <c r="I10" t="s">
        <v>15</v>
      </c>
      <c r="J10" t="s">
        <v>16</v>
      </c>
    </row>
    <row r="11" ht="30" customHeight="1">
      <c r="B11" t="s">
        <v>17</v>
      </c>
      <c r="F11" t="s">
        <v>18</v>
      </c>
      <c r="I11" t="s">
        <v>19</v>
      </c>
      <c r="J11" t="s">
        <v>20</v>
      </c>
    </row>
    <row r="13" ht="39.95" customHeight="1">
      <c r="B13" t="s">
        <v>21</v>
      </c>
      <c r="G13" t="s">
        <v>22</v>
      </c>
      <c r="H13" t="s">
        <v>23</v>
      </c>
      <c r="I13" t="s">
        <v>24</v>
      </c>
      <c r="J13" t="s">
        <v>25</v>
      </c>
    </row>
    <row r="14" ht="25.15" customHeight="1">
      <c r="B14" t="s">
        <v>26</v>
      </c>
    </row>
    <row r="15" ht="25.15" customHeight="1">
      <c r="B15" t="s">
        <v>27</v>
      </c>
      <c r="G15">
        <v>3</v>
      </c>
      <c r="H15" t="s">
        <v>28</v>
      </c>
    </row>
    <row r="16" ht="25.15" customHeight="1">
      <c r="C16" t="s">
        <v>29</v>
      </c>
      <c r="G16" t="s">
        <v>30</v>
      </c>
      <c r="H16" t="s">
        <v>31</v>
      </c>
      <c r="I16">
        <v>55200</v>
      </c>
      <c r="J16">
        <v>55200</v>
      </c>
    </row>
    <row r="17" ht="25.15" customHeight="1">
      <c r="G17" t="s">
        <v>5</v>
      </c>
      <c r="H17" t="s">
        <v>5</v>
      </c>
      <c r="I17" t="s">
        <v>5</v>
      </c>
      <c r="J17" t="s">
        <v>5</v>
      </c>
    </row>
    <row r="18" ht="25.15" customHeight="1">
      <c r="G18" t="s">
        <v>5</v>
      </c>
      <c r="H18" t="s">
        <v>5</v>
      </c>
      <c r="I18" t="s">
        <v>5</v>
      </c>
      <c r="J18" t="s">
        <v>5</v>
      </c>
    </row>
    <row r="19" ht="25.15" customHeight="1">
      <c r="G19" t="s">
        <v>5</v>
      </c>
      <c r="H19" t="s">
        <v>5</v>
      </c>
      <c r="I19" t="s">
        <v>5</v>
      </c>
      <c r="J19" t="s">
        <v>5</v>
      </c>
    </row>
    <row r="20" ht="25.15" customHeight="1">
      <c r="G20" t="s">
        <v>5</v>
      </c>
      <c r="H20" t="s">
        <v>5</v>
      </c>
      <c r="I20" t="s">
        <v>5</v>
      </c>
      <c r="J20" t="s">
        <v>5</v>
      </c>
    </row>
    <row r="21" ht="25.15" customHeight="1">
      <c r="G21" t="s">
        <v>5</v>
      </c>
      <c r="H21" t="s">
        <v>5</v>
      </c>
      <c r="I21" t="s">
        <v>5</v>
      </c>
      <c r="J21" t="s">
        <v>5</v>
      </c>
    </row>
    <row r="22" ht="25.15" customHeight="1">
      <c r="G22" t="s">
        <v>5</v>
      </c>
      <c r="H22" t="s">
        <v>5</v>
      </c>
      <c r="I22" t="s">
        <v>5</v>
      </c>
      <c r="J22" t="s">
        <v>5</v>
      </c>
    </row>
    <row r="23" ht="25.15" customHeight="1">
      <c r="B23" t="s">
        <v>32</v>
      </c>
      <c r="G23">
        <v>1</v>
      </c>
      <c r="H23" t="s">
        <v>33</v>
      </c>
    </row>
    <row r="24" ht="25.15" customHeight="1">
      <c r="G24" t="s">
        <v>5</v>
      </c>
      <c r="H24" t="s">
        <v>5</v>
      </c>
      <c r="I24" t="s">
        <v>5</v>
      </c>
      <c r="J24" t="s">
        <v>5</v>
      </c>
    </row>
    <row r="25" ht="25.15" customHeight="1">
      <c r="G25" t="s">
        <v>5</v>
      </c>
      <c r="H25" t="s">
        <v>5</v>
      </c>
      <c r="I25" t="s">
        <v>5</v>
      </c>
      <c r="J25" t="s">
        <v>5</v>
      </c>
    </row>
    <row r="26" ht="25.15" customHeight="1">
      <c r="G26" t="s">
        <v>5</v>
      </c>
      <c r="H26" t="s">
        <v>5</v>
      </c>
      <c r="I26" t="s">
        <v>5</v>
      </c>
      <c r="J26" t="s">
        <v>5</v>
      </c>
    </row>
    <row r="27" ht="25.15" customHeight="1">
      <c r="G27" t="s">
        <v>5</v>
      </c>
      <c r="H27" t="s">
        <v>5</v>
      </c>
      <c r="I27" t="s">
        <v>5</v>
      </c>
      <c r="J27" t="s">
        <v>5</v>
      </c>
    </row>
    <row r="28" ht="25.15" customHeight="1">
      <c r="G28" t="s">
        <v>5</v>
      </c>
      <c r="H28" t="s">
        <v>5</v>
      </c>
      <c r="I28" t="s">
        <v>5</v>
      </c>
      <c r="J28" t="s">
        <v>5</v>
      </c>
    </row>
    <row r="29" ht="25.15" customHeight="1">
      <c r="G29" t="s">
        <v>5</v>
      </c>
      <c r="H29" t="s">
        <v>5</v>
      </c>
      <c r="I29" t="s">
        <v>5</v>
      </c>
      <c r="J29" t="s">
        <v>5</v>
      </c>
    </row>
    <row r="30" ht="25.15" customHeight="1">
      <c r="G30" t="s">
        <v>5</v>
      </c>
      <c r="H30" t="s">
        <v>5</v>
      </c>
      <c r="I30" t="s">
        <v>5</v>
      </c>
      <c r="J30" t="s">
        <v>5</v>
      </c>
    </row>
    <row r="31" ht="25.9" customHeight="1">
      <c r="B31" t="s">
        <v>34</v>
      </c>
      <c r="G31">
        <v>1</v>
      </c>
      <c r="H31" t="s">
        <v>35</v>
      </c>
      <c r="I31">
        <v>0</v>
      </c>
      <c r="J31">
        <f>I31*G31</f>
      </c>
    </row>
    <row r="32" ht="25.9" customHeight="1">
      <c r="C32" t="s">
        <v>36</v>
      </c>
    </row>
    <row r="34" ht="25.9" customHeight="1">
      <c r="B34" t="s">
        <v>37</v>
      </c>
    </row>
    <row r="35" ht="25.15" customHeight="1">
      <c r="C35" t="s">
        <v>38</v>
      </c>
      <c r="G35" t="s">
        <v>5</v>
      </c>
      <c r="H35" t="s">
        <v>39</v>
      </c>
      <c r="I35">
        <v>15000</v>
      </c>
      <c r="J35">
        <v>0</v>
      </c>
    </row>
    <row r="37" ht="25.15" customHeight="1">
      <c r="B37" t="s">
        <v>40</v>
      </c>
    </row>
    <row r="38" ht="25.15" customHeight="1">
      <c r="C38" t="s">
        <v>41</v>
      </c>
      <c r="H38" t="s">
        <v>42</v>
      </c>
      <c r="I38">
        <v>500</v>
      </c>
      <c r="J38">
        <f>I38*G38</f>
      </c>
    </row>
    <row r="39" ht="25.15" customHeight="1">
      <c r="C39" t="s">
        <v>43</v>
      </c>
      <c r="H39" t="s">
        <v>42</v>
      </c>
      <c r="I39">
        <v>500</v>
      </c>
      <c r="J39">
        <f>I39*G39</f>
      </c>
    </row>
    <row r="40" ht="25.15" customHeight="1">
      <c r="C40" t="s">
        <v>44</v>
      </c>
      <c r="J40">
        <f>I40*G40</f>
      </c>
    </row>
    <row r="41" ht="25.15" customHeight="1">
      <c r="C41" t="s">
        <v>45</v>
      </c>
      <c r="J41">
        <f>I41*G41</f>
      </c>
    </row>
    <row r="42" ht="25.15" customHeight="1">
      <c r="J42">
        <f>I42*G42</f>
      </c>
    </row>
    <row r="43" ht="25.15" customHeight="1">
      <c r="B43" t="s">
        <v>46</v>
      </c>
      <c r="H43" t="s">
        <v>47</v>
      </c>
      <c r="J43">
        <f>I43*G43</f>
      </c>
    </row>
    <row r="44" ht="25.15" customHeight="1">
      <c r="C44" t="s">
        <v>48</v>
      </c>
    </row>
    <row r="46" ht="25.15" customHeight="1">
      <c r="H46" t="s">
        <v>49</v>
      </c>
      <c r="I46">
        <f>SUM(J15:J45)</f>
      </c>
    </row>
    <row r="47" ht="25.15" customHeight="1">
      <c r="H47" t="s">
        <v>49</v>
      </c>
      <c r="I47">
        <f>I46/J48</f>
      </c>
    </row>
    <row r="48" ht="30" customHeight="1">
      <c r="F48" t="s">
        <v>50</v>
      </c>
      <c r="J48">
        <v>1608.02</v>
      </c>
    </row>
    <row r="49" ht="24.6" customHeight="1">
      <c r="J49" t="s">
        <v>51</v>
      </c>
    </row>
    <row r="50" ht="24.6" customHeight="1">
      <c r="J50" t="s">
        <v>52</v>
      </c>
    </row>
    <row r="51" ht="25.15" customHeight="1">
      <c r="B51" t="s">
        <v>53</v>
      </c>
    </row>
    <row r="52" ht="18" customHeight="1">
      <c r="B52" t="s">
        <v>54</v>
      </c>
    </row>
    <row r="54" ht="16.15" customHeight="1">
      <c r="B54" t="s">
        <v>55</v>
      </c>
    </row>
    <row r="55" ht="19.9" customHeight="1">
      <c r="B55" t="s">
        <v>56</v>
      </c>
    </row>
    <row r="56" ht="19.9" customHeight="1">
      <c r="B56" t="s">
        <v>57</v>
      </c>
    </row>
    <row r="57" ht="19.9" customHeight="1">
      <c r="B57" t="s">
        <v>58</v>
      </c>
    </row>
    <row r="58" ht="19.9" customHeight="1">
      <c r="B58" t="s">
        <v>59</v>
      </c>
    </row>
    <row r="59" ht="19.9" customHeight="1">
      <c r="B59" t="s">
        <v>60</v>
      </c>
    </row>
    <row r="60" ht="19.9" customHeight="1">
      <c r="B60" t="s">
        <v>61</v>
      </c>
    </row>
    <row r="61" ht="19.9" customHeight="1">
      <c r="B61" t="s">
        <v>62</v>
      </c>
    </row>
    <row r="62" ht="19.9" customHeight="1">
      <c r="B62" t="s">
        <v>63</v>
      </c>
    </row>
    <row r="65" ht="36.6" customHeight="1">
      <c r="B65" t="s">
        <v>64</v>
      </c>
    </row>
    <row r="66" ht="18" customHeight="1">
      <c r="B66" t="s">
        <v>65</v>
      </c>
    </row>
  </sheetData>
  <mergeCells count="34">
    <mergeCell ref="B1:D2"/>
    <mergeCell ref="I2:J2"/>
    <mergeCell ref="B4:J4"/>
    <mergeCell ref="B13:F13"/>
    <mergeCell ref="B14:F14"/>
    <mergeCell ref="B15:F15"/>
    <mergeCell ref="C16:F16"/>
    <mergeCell ref="C17:F17"/>
    <mergeCell ref="C18:F18"/>
    <mergeCell ref="C19:F19"/>
    <mergeCell ref="C20:F20"/>
    <mergeCell ref="C21:F21"/>
    <mergeCell ref="B23:F23"/>
    <mergeCell ref="C24:F24"/>
    <mergeCell ref="C25:F25"/>
    <mergeCell ref="C26:F26"/>
    <mergeCell ref="C27:F27"/>
    <mergeCell ref="C28:F28"/>
    <mergeCell ref="C29:F29"/>
    <mergeCell ref="C32:F32"/>
    <mergeCell ref="B34:F34"/>
    <mergeCell ref="C35:F35"/>
    <mergeCell ref="B37:F37"/>
    <mergeCell ref="B43:F43"/>
    <mergeCell ref="I46:J46"/>
    <mergeCell ref="B47:E47"/>
    <mergeCell ref="I47:J47"/>
    <mergeCell ref="F48:I48"/>
    <mergeCell ref="B51:J51"/>
    <mergeCell ref="B52:J52"/>
    <mergeCell ref="G53:J53"/>
    <mergeCell ref="B54:J54"/>
    <mergeCell ref="B65:J65"/>
    <mergeCell ref="B66:J66"/>
  </mergeCells>
  <pageMargins left="0" right="0" top="0.2362204724409449" bottom="0" header="3.937007874015748" footer="0"/>
  <pageSetup orientation="portrait" horizontalDpi="4294967295" verticalDpi="4294967295" scale="48" fitToWidth="1" fitToHeight="1" firstPageNumber="1" useFirstPageNumber="1" copies="1"/>
</worksheet>
</file>

<file path=xl/worksheets/sheet3.xml><?xml version="1.0" encoding="utf-8"?>
<worksheet xmlns="http://schemas.openxmlformats.org/spreadsheetml/2006/main">
  <dimension ref="B1:K46"/>
  <sheetFormatPr defaultRowHeight="16.5" outlineLevelRow="0" outlineLevelCol="0" defaultColWidth="8.85546875" customHeight="1"/>
  <cols>
    <col min="1" max="1" width="1.28515625" customWidth="1"/>
    <col min="2" max="3" width="11.140625" customWidth="1"/>
    <col min="4" max="4" width="11" customWidth="1"/>
    <col min="5" max="5" width="11.140625" customWidth="1"/>
    <col min="6" max="6" width="16.5703125" customWidth="1"/>
    <col min="7" max="9" width="11" customWidth="1"/>
    <col min="10" max="10" width="8" customWidth="1"/>
    <col min="11" max="13" width="12.42578125" customWidth="1"/>
    <col min="14" max="14" width="1.28515625" customWidth="1"/>
    <col min="15" max="16384" width="8.85546875" customWidth="1"/>
  </cols>
  <sheetData>
    <row r="1" ht="30" customHeight="1">
      <c r="B1" t="s">
        <v>66</v>
      </c>
    </row>
    <row r="3" ht="100.15" customHeight="1">
      <c r="E3" t="s">
        <v>67</v>
      </c>
    </row>
    <row r="6" ht="25.15" customHeight="1">
      <c r="B6" t="s">
        <v>68</v>
      </c>
      <c r="E6" t="s">
        <v>69</v>
      </c>
      <c r="H6" t="s">
        <v>70</v>
      </c>
      <c r="K6" t="s">
        <v>71</v>
      </c>
    </row>
    <row r="7" ht="25.15" customHeight="1">
      <c r="H7" t="s">
        <v>72</v>
      </c>
    </row>
    <row r="8" ht="25.15" customHeight="1">
      <c r="B8" t="s">
        <v>73</v>
      </c>
      <c r="E8" t="s">
        <v>74</v>
      </c>
      <c r="H8" t="s">
        <v>75</v>
      </c>
      <c r="K8" t="s">
        <v>76</v>
      </c>
    </row>
    <row r="12" ht="24.75" customHeight="1">
      <c r="B12" t="s">
        <v>77</v>
      </c>
    </row>
    <row r="14" ht="24.75" customHeight="1">
      <c r="B14" t="s">
        <v>78</v>
      </c>
    </row>
    <row r="15" ht="24.75" customHeight="1">
      <c r="B15" t="s">
        <v>79</v>
      </c>
    </row>
    <row r="16" ht="24.75" customHeight="1">
      <c r="B16" t="s">
        <v>80</v>
      </c>
    </row>
    <row r="17" ht="24.75" customHeight="1">
      <c r="B17" t="s">
        <v>81</v>
      </c>
    </row>
    <row r="18" ht="24.75" customHeight="1">
      <c r="B18" t="s">
        <v>82</v>
      </c>
    </row>
    <row r="42" ht="58.15" customHeight="1">
      <c r="B42" t="s">
        <v>83</v>
      </c>
      <c r="H42" t="s">
        <v>84</v>
      </c>
    </row>
    <row r="45" ht="32.45" customHeight="1">
      <c r="B45" t="s">
        <v>64</v>
      </c>
    </row>
    <row r="46" ht="15" customHeight="1">
      <c r="B46" t="s">
        <v>65</v>
      </c>
    </row>
  </sheetData>
  <mergeCells count="25">
    <mergeCell ref="B1:D2"/>
    <mergeCell ref="E3:K3"/>
    <mergeCell ref="B6:D6"/>
    <mergeCell ref="E6:G6"/>
    <mergeCell ref="H6:J6"/>
    <mergeCell ref="K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B40:G41"/>
    <mergeCell ref="H40:M41"/>
    <mergeCell ref="B42:G42"/>
    <mergeCell ref="H42:M42"/>
    <mergeCell ref="B45:M45"/>
    <mergeCell ref="B46:M46"/>
  </mergeCells>
  <pageMargins left="0.2362204724409449" right="0.2362204724409449" top="0.03937007874015748" bottom="0" header="0" footer="0"/>
  <pageSetup paperSize="9" orientation="portrait" horizontalDpi="4294967295" verticalDpi="4294967295" scale="61" fitToWidth="1" fitToHeight="1" firstPageNumber="1" useFirstPageNumber="1" copies="1"/>
</worksheet>
</file>

<file path=xl/worksheets/sheet5.xml><?xml version="1.0" encoding="utf-8"?>
<worksheet xmlns="http://schemas.openxmlformats.org/spreadsheetml/2006/main">
  <dimension ref="B1:M48"/>
  <sheetFormatPr defaultRowHeight="16.5" outlineLevelRow="0" outlineLevelCol="0" defaultColWidth="8.5703125" customHeight="1"/>
  <cols>
    <col min="1" max="1" width="1.28515625" customWidth="1"/>
    <col min="2" max="3" width="10.7109375" customWidth="1"/>
    <col min="4" max="5" width="11" customWidth="1"/>
    <col min="6" max="6" width="10.7109375" customWidth="1"/>
    <col min="7" max="7" width="13.28515625" customWidth="1"/>
    <col min="8" max="9" width="14.42578125" customWidth="1"/>
    <col min="10" max="10" width="13.28515625" customWidth="1"/>
    <col min="11" max="12" width="9.42578125" customWidth="1"/>
    <col min="13" max="13" width="8.7109375" customWidth="1"/>
    <col min="14" max="14" width="1.28515625" customWidth="1"/>
    <col min="15" max="16384" width="8.5703125" customWidth="1"/>
  </cols>
  <sheetData>
    <row r="1" ht="30" customHeight="1">
      <c r="B1" t="s">
        <v>66</v>
      </c>
    </row>
    <row r="3" ht="100.15" customHeight="1">
      <c r="E3" t="s">
        <v>85</v>
      </c>
    </row>
    <row r="6" ht="25.15" customHeight="1">
      <c r="B6" t="s">
        <v>68</v>
      </c>
      <c r="E6" t="s">
        <v>69</v>
      </c>
      <c r="H6" t="s">
        <v>70</v>
      </c>
      <c r="J6" t="s">
        <v>71</v>
      </c>
    </row>
    <row r="7" ht="25.15" customHeight="1">
      <c r="H7" t="s">
        <v>72</v>
      </c>
    </row>
    <row r="8" ht="25.15" customHeight="1">
      <c r="B8" t="s">
        <v>73</v>
      </c>
      <c r="E8" t="s">
        <v>74</v>
      </c>
      <c r="H8" t="s">
        <v>75</v>
      </c>
      <c r="J8" t="s">
        <v>76</v>
      </c>
    </row>
    <row r="11" ht="21.75" customHeight="1">
      <c r="B11" t="s">
        <v>86</v>
      </c>
      <c r="F11" t="s">
        <v>87</v>
      </c>
      <c r="G11" t="s">
        <v>88</v>
      </c>
      <c r="M11" t="s">
        <v>89</v>
      </c>
    </row>
    <row r="12" ht="53.45" customHeight="1">
      <c r="B12" t="s">
        <v>90</v>
      </c>
      <c r="C12">
        <v>2025</v>
      </c>
      <c r="D12" t="s">
        <v>91</v>
      </c>
      <c r="E12" t="s">
        <v>92</v>
      </c>
      <c r="G12" t="s">
        <v>93</v>
      </c>
      <c r="I12" t="s">
        <v>94</v>
      </c>
      <c r="K12" t="s">
        <v>95</v>
      </c>
    </row>
    <row r="13" ht="34.15" customHeight="1">
      <c r="B13" t="s">
        <v>96</v>
      </c>
      <c r="C13" t="s">
        <v>97</v>
      </c>
      <c r="G13" t="s">
        <v>98</v>
      </c>
      <c r="H13" t="s">
        <v>99</v>
      </c>
      <c r="I13" t="s">
        <v>100</v>
      </c>
      <c r="J13" t="s">
        <v>99</v>
      </c>
      <c r="K13" t="s">
        <v>101</v>
      </c>
      <c r="L13" t="s">
        <v>102</v>
      </c>
    </row>
    <row r="26" ht="30" customHeight="1">
      <c r="D26" t="s">
        <v>25</v>
      </c>
      <c r="F26">
        <f>SUM(F14:F25)</f>
      </c>
      <c r="G26">
        <f>SUM(G14:G25)</f>
      </c>
      <c r="H26">
        <f>SUM(H14:H25)</f>
      </c>
      <c r="I26">
        <f>SUM(I14:I25)</f>
      </c>
      <c r="J26">
        <f>SUM(J14:J25)</f>
      </c>
      <c r="K26">
        <f>SUM(K14:K25)</f>
      </c>
      <c r="L26">
        <f>SUM(L14:L25)</f>
      </c>
      <c r="M26">
        <f>SUM(M14:M25)</f>
      </c>
    </row>
    <row r="29" ht="24.95" customHeight="1">
      <c r="B29" t="s">
        <v>103</v>
      </c>
    </row>
    <row r="30" ht="24.95" customHeight="1">
      <c r="B30" t="s">
        <v>104</v>
      </c>
    </row>
    <row r="31" ht="24.95" customHeight="1">
      <c r="B31" t="s">
        <v>105</v>
      </c>
    </row>
    <row r="32" ht="24.95" customHeight="1">
      <c r="B32" t="s">
        <v>106</v>
      </c>
    </row>
    <row r="33" ht="24.95" customHeight="1">
      <c r="B33" t="s">
        <v>107</v>
      </c>
    </row>
    <row r="34" ht="24.95" customHeight="1">
      <c r="B34" t="s">
        <v>108</v>
      </c>
    </row>
    <row r="37" ht="24.75" customHeight="1">
      <c r="B37" t="s">
        <v>109</v>
      </c>
    </row>
    <row r="41" ht="30" customHeight="1">
      <c r="B41" t="s">
        <v>110</v>
      </c>
    </row>
    <row r="44" ht="58.15" customHeight="1">
      <c r="B44" t="s">
        <v>83</v>
      </c>
      <c r="H44" t="s">
        <v>111</v>
      </c>
    </row>
    <row r="47" ht="31.15" customHeight="1">
      <c r="B47" t="s">
        <v>64</v>
      </c>
    </row>
    <row r="48" ht="21.6" customHeight="1">
      <c r="B48" t="s">
        <v>65</v>
      </c>
    </row>
  </sheetData>
  <mergeCells count="31">
    <mergeCell ref="B1:D2"/>
    <mergeCell ref="E3:J3"/>
    <mergeCell ref="B6:D6"/>
    <mergeCell ref="E6:G6"/>
    <mergeCell ref="J6:M6"/>
    <mergeCell ref="B7:D7"/>
    <mergeCell ref="E7:G7"/>
    <mergeCell ref="J7:M7"/>
    <mergeCell ref="B8:D8"/>
    <mergeCell ref="E8:G8"/>
    <mergeCell ref="H8:I8"/>
    <mergeCell ref="J8:M8"/>
    <mergeCell ref="B9:D9"/>
    <mergeCell ref="E9:G9"/>
    <mergeCell ref="J9:M9"/>
    <mergeCell ref="B11:E11"/>
    <mergeCell ref="G11:L11"/>
    <mergeCell ref="F11:F13"/>
    <mergeCell ref="G12:H12"/>
    <mergeCell ref="I12:J12"/>
    <mergeCell ref="K12:L12"/>
    <mergeCell ref="M11:M13"/>
    <mergeCell ref="D12:D13"/>
    <mergeCell ref="E12:E13"/>
    <mergeCell ref="D26:E26"/>
    <mergeCell ref="B42:G43"/>
    <mergeCell ref="H42:M43"/>
    <mergeCell ref="B44:G44"/>
    <mergeCell ref="H44:M44"/>
    <mergeCell ref="B47:M47"/>
    <mergeCell ref="B48:M48"/>
  </mergeCells>
  <pageMargins left="0.2362204724409449" right="0.2362204724409449" top="0.03937007874015748" bottom="0" header="0" footer="0"/>
  <pageSetup paperSize="9" orientation="portrait" horizontalDpi="4294967295" verticalDpi="4294967295" scale="61" fitToWidth="1" fitToHeight="1" firstPageNumber="1" useFirstPageNumber="1" copies="1"/>
</worksheet>
</file>

<file path=xl/worksheets/sheet6.xml><?xml version="1.0" encoding="utf-8"?>
<worksheet xmlns="http://schemas.openxmlformats.org/spreadsheetml/2006/main">
  <dimension ref="A1"/>
  <sheetFormatPr defaultRowHeight="12.75" outlineLevelRow="0" outlineLevelCol="0" customHeight="1"/>
  <cols>
    <col min="2" max="2" width="9.85546875" customWidth="1"/>
    <col min="3" max="3" width="11.140625" customWidth="1"/>
    <col min="10" max="10" width="12.28515625" customWidth="1"/>
    <col min="11" max="11" width="14.7109375" customWidth="1"/>
    <col min="12" max="12" width="7.140625" customWidth="1"/>
  </cols>
  <sheetData/>
  <pageMargins left="0.7" right="0.7" top="0.75" bottom="0.75" header="0.3" footer="0.3"/>
  <pageSetup paperSize="9" orientation="portrait" horizontalDpi="0" verticalDpi="0" scale="6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</vt:lpstr>
      <vt:lpstr>Job description</vt:lpstr>
      <vt:lpstr>Time Sheet</vt:lpstr>
      <vt:lpstr>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RTB</dc:creator>
  <cp:lastModifiedBy>goflzhxjf166@outlook.kr</cp:lastModifiedBy>
  <cp:lastPrinted>2025-08-04T04:28:37Z</cp:lastPrinted>
  <dcterms:created xsi:type="dcterms:W3CDTF">2020-06-24T08:16:19Z</dcterms:created>
  <dcterms:modified xsi:type="dcterms:W3CDTF">2026-05-06T23:36:19Z</dcterms:modified>
</cp:coreProperties>
</file>