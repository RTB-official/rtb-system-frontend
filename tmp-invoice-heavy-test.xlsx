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01.xml" ContentType="application/vnd.openxmlformats-officedocument.drawing+xml"/>
  <Override PartName="/xl/drawings/drawing10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<sst xmlns="http://schemas.openxmlformats.org/spreadsheetml/2006/main" count="451" uniqueCount="138">
  <si>
    <t xml:space="preserve"> RTB CO., LTD</t>
  </si>
  <si>
    <t>INVOICE</t>
  </si>
  <si>
    <t>Invoice to</t>
  </si>
  <si>
    <t>Job information</t>
  </si>
  <si>
    <t>P.O No:</t>
  </si>
  <si>
    <t/>
  </si>
  <si>
    <t>Everllence</t>
  </si>
  <si>
    <t>Hull no. H3468</t>
  </si>
  <si>
    <t>INVOICE No:</t>
  </si>
  <si>
    <t>2-Stroke Business</t>
  </si>
  <si>
    <t>Engine type: 6G60ME-C10.5-LGIA-HPSCR</t>
  </si>
  <si>
    <t>Date:</t>
  </si>
  <si>
    <t>15.Jun.2026</t>
  </si>
  <si>
    <t>Teglholmsgade 41</t>
  </si>
  <si>
    <t>Work Period &amp; Place: 19.Jan~17.Apr.2026 at HHI</t>
  </si>
  <si>
    <t>Valid For:</t>
  </si>
  <si>
    <t>14 days</t>
  </si>
  <si>
    <t>Denmark</t>
  </si>
  <si>
    <t>Work Item: Recovery of R&amp;D test component / Recovery</t>
  </si>
  <si>
    <t>Currency unit:</t>
  </si>
  <si>
    <t>KRW</t>
  </si>
  <si>
    <t>Description</t>
  </si>
  <si>
    <t>Q'ty</t>
  </si>
  <si>
    <t>Unit</t>
  </si>
  <si>
    <t>Unit price</t>
  </si>
  <si>
    <t>Total</t>
  </si>
  <si>
    <t xml:space="preserve"> 1. MAN POWER</t>
  </si>
  <si>
    <t>1.1 Skilled Fitters (???, JH Ahn)</t>
  </si>
  <si>
    <t>MEN</t>
  </si>
  <si>
    <t>: Weekday/ Normal Working Hours</t>
  </si>
  <si>
    <t>173</t>
  </si>
  <si>
    <t>hours</t>
  </si>
  <si>
    <t>: Weekday/ After Normal Working Hours</t>
  </si>
  <si>
    <t>114</t>
  </si>
  <si>
    <t>: Weekend &amp; Holiday/ Normal Working Hours</t>
  </si>
  <si>
    <t>46</t>
  </si>
  <si>
    <t>: Weekend &amp; Holiday/ After Normal Working Hours</t>
  </si>
  <si>
    <t>10</t>
  </si>
  <si>
    <t>: Weekday/ Waiting &amp; Travel Hours</t>
  </si>
  <si>
    <t>121</t>
  </si>
  <si>
    <t>: Weekend &amp; Holiday/ Waiting &amp; Travel Hours</t>
  </si>
  <si>
    <t>27</t>
  </si>
  <si>
    <t>1.2 Fitters (???, ???)</t>
  </si>
  <si>
    <t>84</t>
  </si>
  <si>
    <t>16</t>
  </si>
  <si>
    <t>28</t>
  </si>
  <si>
    <t>40</t>
  </si>
  <si>
    <t>56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</si>
  <si>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</si>
  <si>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</si>
  <si>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</si>
  <si>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</si>
  <si>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t>: 3 Skilled fitters and 14 fitters</t>
  </si>
  <si>
    <t>Meals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</si>
  <si>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</si>
  <si>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</si>
  <si>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</si>
  <si>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</si>
  <si>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</si>
  <si>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</si>
  <si>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</si>
  <si>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</si>
  <si>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</si>
  <si>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</si>
  <si>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</si>
  <si>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</si>
  <si>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</si>
  <si>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</si>
  <si>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</si>
  <si>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</si>
  <si>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</si>
  <si>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</si>
  <si>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</si>
  <si>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</si>
  <si>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</si>
  <si>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</si>
  <si>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</si>
  <si>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</si>
  <si>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</si>
  <si>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</si>
  <si>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</si>
  <si>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</si>
  <si>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</si>
  <si>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</si>
  <si>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</si>
  <si>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</si>
  <si>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</si>
  <si>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</si>
  <si>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</si>
  <si>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</si>
  <si>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</si>
  <si>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</si>
  <si>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</si>
  <si>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</si>
  <si>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</si>
  <si>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</si>
  <si>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</si>
  <si>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</si>
  <si>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</si>
  <si>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</si>
  <si>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 xml:space="preserve"> H3468</t>
  </si>
  <si>
    <t xml:space="preserve"> ??? Engineer</t>
  </si>
  <si>
    <t xml:space="preserve"> 19.Jan.2026</t>
  </si>
  <si>
    <t xml:space="preserve"> HHI</t>
  </si>
  <si>
    <t xml:space="preserve"> ??? Mechanic</t>
  </si>
  <si>
    <t xml:space="preserve"> 17.Apr.2026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</si>
  <si>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</si>
  <si>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</si>
  <si>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</si>
  <si>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</si>
  <si>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</si>
  <si>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>2026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</si>
  <si>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</si>
  <si>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</si>
  <si>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</si>
  <si>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</si>
  <si>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</si>
  <si>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</si>
  <si>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</si>
  <si>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</si>
  <si>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</si>
  <si>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</si>
  <si>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</si>
  <si>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</si>
  <si>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>Mon</t>
  </si>
  <si>
    <t>19.Jan</t>
  </si>
  <si>
    <t>08</t>
  </si>
  <si>
    <t>17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</si>
  <si>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</si>
  <si>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</si>
  <si>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</si>
  <si>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</si>
  <si>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</si>
  <si>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</si>
  <si>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</si>
  <si>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* ??? ??? ? ????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</si>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</sst>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&quot;$&quot;* #,##0.00_-;\-&quot;$&quot;* #,##0.00_-;_-&quot;$&quot;* &quot;-&quot;??_-;_-@"/>
    <numFmt numFmtId="177" formatCode="#,##0_);[Red]\(#,##0\)"/>
    <numFmt numFmtId="178" formatCode="#,###\ \E\U\R"/>
    <numFmt numFmtId="179" formatCode="m&quot;/&quot;d;@"/>
    <numFmt numFmtId="180" formatCode="0.00_);[Red]\(0.00\)"/>
    <numFmt numFmtId="181" formatCode="0_);[Red]\(0\)"/>
    <numFmt numFmtId="182" formatCode="#,###\ \K\R\W"/>
    <numFmt numFmtId="183" formatCode="#,###.##\ \K\R\W\ \(&quot;₩&quot;\)"/>
    <numFmt numFmtId="184" formatCode="mm&quot;월&quot;\ dd&quot;일&quot;"/>
    <numFmt numFmtId="185" formatCode="_-* #,##0_-;\-* #,##0_-;_-* &quot;-&quot;?_-;_-@_-"/>
  </numFmts>
  <fonts count="7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b/>
      <sz val="9"/>
      <name val="Roboto"/>
    </font>
    <font>
      <sz val="8"/>
      <name val="돋움"/>
      <family val="3"/>
      <charset val="129"/>
    </font>
    <font>
      <b/>
      <sz val="21"/>
      <name val="Roboto"/>
    </font>
    <font>
      <b/>
      <u/>
      <sz val="14"/>
      <color theme="1" tint="0.34998626667073579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  <font>
      <b/>
      <sz val="14"/>
      <color rgb="FF434343"/>
      <name val="Arial"/>
      <family val="2"/>
    </font>
    <font>
      <u/>
      <sz val="14"/>
      <color rgb="FF000000"/>
      <name val="Arial"/>
      <family val="2"/>
    </font>
    <font>
      <sz val="18"/>
      <color rgb="FF333F4F"/>
      <name val="Arial"/>
      <family val="2"/>
    </font>
    <font>
      <b/>
      <u/>
      <sz val="18"/>
      <name val="Arial"/>
      <family val="2"/>
    </font>
    <font>
      <b/>
      <sz val="12"/>
      <color rgb="FF333F4F"/>
      <name val="Arial"/>
      <family val="2"/>
    </font>
    <font>
      <b/>
      <sz val="14"/>
      <color theme="2" tint="-0.499984740745262"/>
      <name val="Arial"/>
      <family val="2"/>
    </font>
    <font>
      <sz val="14"/>
      <name val="Roboto"/>
    </font>
    <font>
      <i/>
      <sz val="14"/>
      <color rgb="FF333F4F"/>
      <name val="Roboto"/>
    </font>
    <font>
      <sz val="14"/>
      <name val="Arial"/>
      <family val="2"/>
    </font>
    <font>
      <sz val="14"/>
      <color rgb="FFFFFFFF"/>
      <name val="Arial"/>
      <family val="2"/>
    </font>
    <font>
      <i/>
      <sz val="14"/>
      <color rgb="FF333F4F"/>
      <name val="Arial"/>
      <family val="2"/>
    </font>
    <font>
      <b/>
      <sz val="14"/>
      <color rgb="FF1F3864"/>
      <name val="Roboto"/>
    </font>
    <font>
      <b/>
      <sz val="14"/>
      <name val="Roboto"/>
    </font>
    <font>
      <sz val="14"/>
      <color rgb="FF333F4F"/>
      <name val="Roboto"/>
    </font>
    <font>
      <b/>
      <sz val="14"/>
      <color rgb="FF000000"/>
      <name val="Arial"/>
      <family val="2"/>
    </font>
    <font>
      <b/>
      <sz val="40"/>
      <color rgb="FF000000"/>
      <name val="Arial"/>
      <family val="2"/>
    </font>
    <font>
      <sz val="12"/>
      <name val="Roboto"/>
    </font>
    <font>
      <sz val="12"/>
      <color rgb="FF000000"/>
      <name val="Arial"/>
      <family val="2"/>
    </font>
    <font>
      <b/>
      <sz val="12"/>
      <name val="Roboto"/>
    </font>
    <font>
      <sz val="10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20"/>
      <name val="맑은 고딕"/>
      <family val="3"/>
      <charset val="129"/>
      <scheme val="minor"/>
    </font>
    <font>
      <b/>
      <sz val="40"/>
      <name val="맑은 고딕"/>
      <family val="3"/>
      <charset val="129"/>
      <scheme val="minor"/>
    </font>
    <font>
      <b/>
      <sz val="40"/>
      <name val="Arial"/>
      <family val="2"/>
    </font>
    <font>
      <sz val="10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1"/>
      <color theme="2" tint="-0.499984740745262"/>
      <name val="Arial"/>
      <family val="2"/>
    </font>
    <font>
      <sz val="14"/>
      <color rgb="FF333F4F"/>
      <name val="Arial"/>
      <family val="2"/>
    </font>
    <font>
      <sz val="10"/>
      <name val="Arial"/>
      <family val="2"/>
    </font>
    <font>
      <b/>
      <sz val="9"/>
      <color rgb="FF1F3864"/>
      <name val="Arial"/>
      <family val="2"/>
    </font>
    <font>
      <i/>
      <sz val="14"/>
      <color rgb="FFFF0000"/>
      <name val="Arial"/>
      <family val="2"/>
    </font>
    <font>
      <sz val="14"/>
      <color theme="1"/>
      <name val="Arial"/>
      <family val="2"/>
    </font>
    <font>
      <sz val="12"/>
      <color rgb="FF333F4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25"/>
      <name val="맑은 고딕"/>
      <family val="3"/>
      <charset val="129"/>
      <scheme val="minor"/>
    </font>
    <font>
      <b/>
      <sz val="25"/>
      <name val="Roboto"/>
    </font>
    <font>
      <b/>
      <u/>
      <sz val="13"/>
      <color theme="1" tint="0.34998626667073579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6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177" fontId="17" fillId="3" borderId="4" xfId="0" applyNumberFormat="1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center" vertical="center"/>
    </xf>
    <xf numFmtId="177" fontId="17" fillId="3" borderId="6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left" vertical="center"/>
    </xf>
    <xf numFmtId="0" fontId="25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3" fillId="0" borderId="11" xfId="0" applyFont="1" applyBorder="1" applyAlignment="1">
      <alignment horizontal="left" vertical="center"/>
    </xf>
    <xf numFmtId="0" fontId="35" fillId="0" borderId="0" xfId="0" applyFont="1"/>
    <xf numFmtId="176" fontId="37" fillId="0" borderId="0" xfId="0" applyNumberFormat="1" applyFont="1" applyAlignment="1">
      <alignment vertical="center"/>
    </xf>
    <xf numFmtId="0" fontId="36" fillId="0" borderId="0" xfId="0" applyFont="1"/>
    <xf numFmtId="0" fontId="38" fillId="0" borderId="0" xfId="0" applyFont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39" fillId="3" borderId="0" xfId="0" applyFont="1" applyFill="1" applyAlignment="1">
      <alignment horizontal="right"/>
    </xf>
    <xf numFmtId="0" fontId="3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4" fillId="0" borderId="0" xfId="1">
      <alignment vertical="center"/>
    </xf>
    <xf numFmtId="0" fontId="4" fillId="4" borderId="0" xfId="1" applyFill="1">
      <alignment vertical="center"/>
    </xf>
    <xf numFmtId="0" fontId="46" fillId="0" borderId="16" xfId="1" applyFont="1" applyBorder="1">
      <alignment vertical="center"/>
    </xf>
    <xf numFmtId="0" fontId="41" fillId="0" borderId="17" xfId="1" applyFont="1" applyBorder="1">
      <alignment vertical="center"/>
    </xf>
    <xf numFmtId="0" fontId="4" fillId="0" borderId="18" xfId="1" applyBorder="1">
      <alignment vertical="center"/>
    </xf>
    <xf numFmtId="0" fontId="4" fillId="0" borderId="19" xfId="1" applyBorder="1">
      <alignment vertical="center"/>
    </xf>
    <xf numFmtId="0" fontId="4" fillId="0" borderId="21" xfId="1" applyBorder="1">
      <alignment vertical="center"/>
    </xf>
    <xf numFmtId="0" fontId="48" fillId="0" borderId="0" xfId="1" applyFont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41" fillId="0" borderId="0" xfId="1" applyFont="1">
      <alignment vertical="center"/>
    </xf>
    <xf numFmtId="0" fontId="33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9" fontId="27" fillId="0" borderId="0" xfId="3" applyFont="1" applyAlignment="1"/>
    <xf numFmtId="9" fontId="17" fillId="3" borderId="6" xfId="3" applyFont="1" applyFill="1" applyBorder="1" applyAlignment="1">
      <alignment horizontal="center" vertical="center"/>
    </xf>
    <xf numFmtId="9" fontId="17" fillId="0" borderId="0" xfId="3" applyFont="1" applyAlignment="1">
      <alignment horizontal="right" vertical="center"/>
    </xf>
    <xf numFmtId="9" fontId="17" fillId="0" borderId="0" xfId="3" applyFont="1" applyAlignment="1"/>
    <xf numFmtId="0" fontId="17" fillId="2" borderId="4" xfId="0" applyFont="1" applyFill="1" applyBorder="1" applyAlignment="1">
      <alignment horizontal="center" vertical="center"/>
    </xf>
    <xf numFmtId="0" fontId="33" fillId="3" borderId="12" xfId="0" applyFont="1" applyFill="1" applyBorder="1" applyAlignment="1" applyProtection="1">
      <alignment vertical="center"/>
      <protection locked="0"/>
    </xf>
    <xf numFmtId="0" fontId="36" fillId="3" borderId="7" xfId="0" applyFont="1" applyFill="1" applyBorder="1" applyAlignment="1" applyProtection="1">
      <alignment horizontal="left" vertical="center"/>
      <protection locked="0"/>
    </xf>
    <xf numFmtId="0" fontId="17" fillId="3" borderId="7" xfId="0" applyFont="1" applyFill="1" applyBorder="1" applyAlignment="1" applyProtection="1">
      <alignment horizontal="left" vertical="center"/>
      <protection locked="0"/>
    </xf>
    <xf numFmtId="0" fontId="17" fillId="3" borderId="5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right" vertical="center"/>
      <protection locked="0"/>
    </xf>
    <xf numFmtId="0" fontId="56" fillId="0" borderId="7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0" xfId="0" applyFont="1"/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61" fillId="3" borderId="0" xfId="0" applyFont="1" applyFill="1" applyAlignment="1">
      <alignment horizontal="left" vertical="center"/>
    </xf>
    <xf numFmtId="49" fontId="41" fillId="0" borderId="17" xfId="1" applyNumberFormat="1" applyFont="1" applyBorder="1" applyAlignment="1">
      <alignment horizontal="right" vertical="center"/>
    </xf>
    <xf numFmtId="180" fontId="17" fillId="3" borderId="6" xfId="3" applyNumberFormat="1" applyFont="1" applyFill="1" applyBorder="1" applyAlignment="1">
      <alignment horizontal="right" vertical="center"/>
    </xf>
    <xf numFmtId="180" fontId="17" fillId="3" borderId="6" xfId="0" applyNumberFormat="1" applyFon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15" xfId="4" applyBorder="1">
      <alignment vertical="center"/>
    </xf>
    <xf numFmtId="0" fontId="57" fillId="0" borderId="0" xfId="4" applyFont="1" applyAlignment="1">
      <alignment horizontal="center" vertical="center"/>
    </xf>
    <xf numFmtId="0" fontId="57" fillId="0" borderId="0" xfId="4" applyFont="1" applyAlignment="1">
      <alignment horizontal="center"/>
    </xf>
    <xf numFmtId="0" fontId="2" fillId="4" borderId="0" xfId="4" applyFill="1">
      <alignment vertical="center"/>
    </xf>
    <xf numFmtId="0" fontId="43" fillId="0" borderId="0" xfId="4" applyFont="1" applyAlignment="1">
      <alignment horizontal="center" vertical="center"/>
    </xf>
    <xf numFmtId="0" fontId="2" fillId="0" borderId="16" xfId="4" applyBorder="1">
      <alignment vertical="center"/>
    </xf>
    <xf numFmtId="0" fontId="2" fillId="0" borderId="0" xfId="4" applyAlignment="1">
      <alignment horizontal="center" vertical="center"/>
    </xf>
    <xf numFmtId="0" fontId="2" fillId="0" borderId="22" xfId="4" applyBorder="1">
      <alignment vertical="center"/>
    </xf>
    <xf numFmtId="0" fontId="2" fillId="0" borderId="21" xfId="4" applyBorder="1">
      <alignment vertical="center"/>
    </xf>
    <xf numFmtId="0" fontId="43" fillId="0" borderId="23" xfId="4" applyFont="1" applyBorder="1">
      <alignment vertical="center"/>
    </xf>
    <xf numFmtId="0" fontId="51" fillId="0" borderId="17" xfId="4" applyFont="1" applyBorder="1">
      <alignment vertical="center"/>
    </xf>
    <xf numFmtId="0" fontId="2" fillId="0" borderId="18" xfId="4" applyBorder="1">
      <alignment vertical="center"/>
    </xf>
    <xf numFmtId="0" fontId="2" fillId="0" borderId="19" xfId="4" applyBorder="1">
      <alignment vertical="center"/>
    </xf>
    <xf numFmtId="0" fontId="51" fillId="0" borderId="20" xfId="4" applyFont="1" applyBorder="1">
      <alignment vertical="center"/>
    </xf>
    <xf numFmtId="0" fontId="2" fillId="0" borderId="23" xfId="4" applyBorder="1">
      <alignment vertical="center"/>
    </xf>
    <xf numFmtId="0" fontId="52" fillId="0" borderId="0" xfId="4" applyFont="1">
      <alignment vertical="center"/>
    </xf>
    <xf numFmtId="0" fontId="52" fillId="0" borderId="16" xfId="4" applyFont="1" applyBorder="1">
      <alignment vertical="center"/>
    </xf>
    <xf numFmtId="0" fontId="40" fillId="0" borderId="17" xfId="4" applyFont="1" applyBorder="1" applyAlignment="1">
      <alignment horizontal="left" vertical="center" readingOrder="1"/>
    </xf>
    <xf numFmtId="0" fontId="52" fillId="0" borderId="18" xfId="4" applyFont="1" applyBorder="1">
      <alignment vertical="center"/>
    </xf>
    <xf numFmtId="0" fontId="52" fillId="0" borderId="19" xfId="4" applyFont="1" applyBorder="1">
      <alignment vertical="center"/>
    </xf>
    <xf numFmtId="0" fontId="40" fillId="0" borderId="20" xfId="4" applyFont="1" applyBorder="1" applyAlignment="1">
      <alignment horizontal="left" vertical="center" readingOrder="1"/>
    </xf>
    <xf numFmtId="0" fontId="2" fillId="0" borderId="13" xfId="4" applyBorder="1">
      <alignment vertical="center"/>
    </xf>
    <xf numFmtId="0" fontId="53" fillId="0" borderId="14" xfId="4" applyFont="1" applyBorder="1" applyAlignment="1">
      <alignment horizontal="center" vertical="center"/>
    </xf>
    <xf numFmtId="0" fontId="41" fillId="0" borderId="14" xfId="4" applyFont="1" applyBorder="1" applyAlignment="1">
      <alignment horizontal="center" vertical="center"/>
    </xf>
    <xf numFmtId="0" fontId="2" fillId="0" borderId="14" xfId="4" applyBorder="1">
      <alignment vertical="center"/>
    </xf>
    <xf numFmtId="0" fontId="53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2" fillId="0" borderId="17" xfId="4" applyBorder="1">
      <alignment vertical="center"/>
    </xf>
    <xf numFmtId="0" fontId="53" fillId="0" borderId="24" xfId="4" applyFont="1" applyBorder="1" applyAlignment="1">
      <alignment horizontal="center" vertical="center"/>
    </xf>
    <xf numFmtId="0" fontId="2" fillId="0" borderId="24" xfId="4" applyBorder="1">
      <alignment vertical="center"/>
    </xf>
    <xf numFmtId="0" fontId="2" fillId="0" borderId="26" xfId="4" applyBorder="1">
      <alignment vertical="center"/>
    </xf>
    <xf numFmtId="0" fontId="54" fillId="0" borderId="0" xfId="4" applyFont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49" fontId="41" fillId="0" borderId="24" xfId="4" applyNumberFormat="1" applyFont="1" applyBorder="1" applyAlignment="1">
      <alignment horizontal="center" vertical="center"/>
    </xf>
    <xf numFmtId="179" fontId="41" fillId="0" borderId="24" xfId="4" applyNumberFormat="1" applyFont="1" applyBorder="1" applyAlignment="1">
      <alignment horizontal="center" vertical="center"/>
    </xf>
    <xf numFmtId="16" fontId="41" fillId="0" borderId="26" xfId="4" applyNumberFormat="1" applyFont="1" applyBorder="1" applyAlignment="1">
      <alignment horizontal="center" vertical="center"/>
    </xf>
    <xf numFmtId="0" fontId="43" fillId="0" borderId="30" xfId="4" applyFont="1" applyBorder="1" applyAlignment="1">
      <alignment horizontal="center" vertical="center"/>
    </xf>
    <xf numFmtId="0" fontId="43" fillId="0" borderId="31" xfId="4" applyFont="1" applyBorder="1" applyAlignment="1">
      <alignment horizontal="center" vertical="center"/>
    </xf>
    <xf numFmtId="0" fontId="43" fillId="0" borderId="0" xfId="4" applyFont="1" applyAlignment="1">
      <alignment horizontal="center" vertical="center" wrapText="1"/>
    </xf>
    <xf numFmtId="0" fontId="41" fillId="0" borderId="0" xfId="4" applyFont="1">
      <alignment vertical="center"/>
    </xf>
    <xf numFmtId="0" fontId="43" fillId="0" borderId="0" xfId="4" applyFont="1">
      <alignment vertical="center"/>
    </xf>
    <xf numFmtId="0" fontId="41" fillId="0" borderId="0" xfId="4" applyFont="1" applyAlignment="1">
      <alignment horizontal="left" vertical="center"/>
    </xf>
    <xf numFmtId="0" fontId="48" fillId="0" borderId="14" xfId="4" applyFont="1" applyBorder="1" applyAlignment="1">
      <alignment horizontal="center" vertical="center"/>
    </xf>
    <xf numFmtId="0" fontId="48" fillId="4" borderId="0" xfId="4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36" fillId="3" borderId="0" xfId="0" applyNumberFormat="1" applyFont="1" applyFill="1" applyAlignment="1">
      <alignment horizontal="right" vertical="center"/>
    </xf>
    <xf numFmtId="181" fontId="17" fillId="3" borderId="4" xfId="3" applyNumberFormat="1" applyFont="1" applyFill="1" applyBorder="1" applyAlignment="1">
      <alignment horizontal="right" vertical="center"/>
    </xf>
    <xf numFmtId="177" fontId="17" fillId="2" borderId="6" xfId="0" applyNumberFormat="1" applyFont="1" applyFill="1" applyBorder="1" applyAlignment="1">
      <alignment horizontal="center" vertical="center"/>
    </xf>
    <xf numFmtId="0" fontId="1" fillId="0" borderId="0" xfId="4" applyFont="1">
      <alignment vertical="center"/>
    </xf>
    <xf numFmtId="0" fontId="27" fillId="0" borderId="0" xfId="0" applyFont="1" applyProtection="1"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177" fontId="62" fillId="0" borderId="4" xfId="0" applyNumberFormat="1" applyFont="1" applyBorder="1" applyAlignment="1">
      <alignment horizontal="right" vertical="center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177" fontId="62" fillId="2" borderId="6" xfId="0" applyNumberFormat="1" applyFont="1" applyFill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27" fillId="3" borderId="42" xfId="0" applyNumberFormat="1" applyFont="1" applyFill="1" applyBorder="1" applyAlignment="1" applyProtection="1">
      <alignment vertical="center"/>
      <protection locked="0"/>
    </xf>
    <xf numFmtId="2" fontId="17" fillId="0" borderId="42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right"/>
    </xf>
    <xf numFmtId="183" fontId="64" fillId="0" borderId="0" xfId="0" applyNumberFormat="1" applyFont="1"/>
    <xf numFmtId="0" fontId="65" fillId="0" borderId="0" xfId="0" applyFont="1" applyAlignment="1">
      <alignment horizontal="right"/>
    </xf>
    <xf numFmtId="0" fontId="63" fillId="0" borderId="0" xfId="0" applyFont="1" applyAlignment="1">
      <alignment horizontal="center"/>
    </xf>
    <xf numFmtId="176" fontId="11" fillId="0" borderId="0" xfId="0" applyNumberFormat="1" applyFont="1"/>
    <xf numFmtId="0" fontId="43" fillId="0" borderId="17" xfId="4" applyFont="1" applyBorder="1">
      <alignment vertical="center"/>
    </xf>
    <xf numFmtId="0" fontId="43" fillId="0" borderId="17" xfId="4" quotePrefix="1" applyFont="1" applyBorder="1">
      <alignment vertical="center"/>
    </xf>
    <xf numFmtId="0" fontId="43" fillId="0" borderId="44" xfId="4" applyFont="1" applyBorder="1" applyAlignment="1">
      <alignment horizontal="center" vertical="center" wrapText="1"/>
    </xf>
    <xf numFmtId="0" fontId="41" fillId="0" borderId="20" xfId="1" applyFont="1" applyBorder="1">
      <alignment vertical="center"/>
    </xf>
    <xf numFmtId="0" fontId="41" fillId="0" borderId="18" xfId="1" applyFont="1" applyBorder="1">
      <alignment vertical="center"/>
    </xf>
    <xf numFmtId="0" fontId="41" fillId="0" borderId="16" xfId="1" applyFont="1" applyBorder="1">
      <alignment vertical="center"/>
    </xf>
    <xf numFmtId="0" fontId="41" fillId="0" borderId="13" xfId="1" applyFont="1" applyBorder="1">
      <alignment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81" fontId="17" fillId="3" borderId="6" xfId="0" applyNumberFormat="1" applyFont="1" applyFill="1" applyBorder="1" applyAlignment="1">
      <alignment horizontal="right" vertical="center"/>
    </xf>
    <xf numFmtId="177" fontId="27" fillId="3" borderId="6" xfId="0" applyNumberFormat="1" applyFont="1" applyFill="1" applyBorder="1" applyAlignment="1" applyProtection="1">
      <alignment vertical="center"/>
      <protection locked="0"/>
    </xf>
    <xf numFmtId="184" fontId="0" fillId="0" borderId="0" xfId="0" applyNumberFormat="1"/>
    <xf numFmtId="41" fontId="0" fillId="0" borderId="0" xfId="5" applyFont="1" applyAlignment="1"/>
    <xf numFmtId="41" fontId="0" fillId="0" borderId="0" xfId="0" applyNumberFormat="1"/>
    <xf numFmtId="10" fontId="0" fillId="0" borderId="0" xfId="0" applyNumberFormat="1"/>
    <xf numFmtId="185" fontId="0" fillId="0" borderId="0" xfId="0" applyNumberFormat="1"/>
    <xf numFmtId="0" fontId="13" fillId="0" borderId="0" xfId="0" applyFont="1" applyAlignment="1">
      <alignment horizontal="right" vertical="center"/>
    </xf>
    <xf numFmtId="0" fontId="49" fillId="0" borderId="0" xfId="4" applyFont="1" applyAlignment="1">
      <alignment horizontal="center"/>
    </xf>
    <xf numFmtId="0" fontId="33" fillId="3" borderId="11" xfId="0" applyFont="1" applyFill="1" applyBorder="1" applyAlignment="1" applyProtection="1">
      <alignment vertical="center"/>
      <protection locked="0"/>
    </xf>
    <xf numFmtId="0" fontId="43" fillId="0" borderId="24" xfId="4" applyFont="1" applyBorder="1" applyAlignment="1">
      <alignment horizontal="center" vertical="center"/>
    </xf>
    <xf numFmtId="0" fontId="43" fillId="0" borderId="29" xfId="4" applyFont="1" applyBorder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47" fillId="0" borderId="20" xfId="1" applyFont="1" applyBorder="1">
      <alignment vertical="center"/>
    </xf>
    <xf numFmtId="0" fontId="47" fillId="0" borderId="19" xfId="1" applyFont="1" applyBorder="1">
      <alignment vertical="center"/>
    </xf>
    <xf numFmtId="0" fontId="43" fillId="0" borderId="26" xfId="4" applyFont="1" applyBorder="1" applyAlignment="1">
      <alignment horizontal="center" vertical="center"/>
    </xf>
    <xf numFmtId="0" fontId="53" fillId="0" borderId="25" xfId="4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41" fillId="0" borderId="17" xfId="1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41" fillId="0" borderId="16" xfId="1" applyFont="1" applyBorder="1" applyAlignment="1">
      <alignment horizontal="left" vertical="center"/>
    </xf>
    <xf numFmtId="0" fontId="67" fillId="0" borderId="0" xfId="4" applyFont="1" applyAlignment="1">
      <alignment horizontal="center" vertic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horizontal="center"/>
    </xf>
    <xf numFmtId="0" fontId="41" fillId="0" borderId="20" xfId="1" applyFont="1" applyBorder="1" applyAlignment="1">
      <alignment horizontal="left" vertical="center"/>
    </xf>
    <xf numFmtId="0" fontId="41" fillId="0" borderId="19" xfId="1" applyFont="1" applyBorder="1" applyAlignment="1">
      <alignment horizontal="left" vertical="center"/>
    </xf>
    <xf numFmtId="0" fontId="41" fillId="0" borderId="18" xfId="1" applyFont="1" applyBorder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0" fontId="45" fillId="0" borderId="20" xfId="4" applyFont="1" applyBorder="1" applyAlignment="1">
      <alignment horizontal="right"/>
    </xf>
    <xf numFmtId="0" fontId="44" fillId="0" borderId="19" xfId="4" applyFont="1" applyBorder="1" applyAlignment="1">
      <alignment horizontal="right"/>
    </xf>
    <xf numFmtId="0" fontId="44" fillId="0" borderId="18" xfId="4" applyFont="1" applyBorder="1" applyAlignment="1">
      <alignment horizontal="right"/>
    </xf>
    <xf numFmtId="0" fontId="44" fillId="0" borderId="17" xfId="4" applyFont="1" applyBorder="1" applyAlignment="1">
      <alignment horizontal="right"/>
    </xf>
    <xf numFmtId="0" fontId="44" fillId="0" borderId="0" xfId="4" applyFont="1" applyAlignment="1">
      <alignment horizontal="right"/>
    </xf>
    <xf numFmtId="0" fontId="44" fillId="0" borderId="16" xfId="4" applyFont="1" applyBorder="1" applyAlignment="1">
      <alignment horizontal="right"/>
    </xf>
    <xf numFmtId="0" fontId="2" fillId="0" borderId="20" xfId="4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6" xfId="4" applyBorder="1" applyAlignment="1">
      <alignment horizontal="center" vertical="center"/>
    </xf>
    <xf numFmtId="0" fontId="43" fillId="0" borderId="15" xfId="4" applyFont="1" applyBorder="1" applyAlignment="1">
      <alignment horizontal="center" vertical="center"/>
    </xf>
    <xf numFmtId="0" fontId="43" fillId="0" borderId="14" xfId="4" applyFont="1" applyBorder="1" applyAlignment="1">
      <alignment horizontal="center" vertical="center"/>
    </xf>
    <xf numFmtId="0" fontId="43" fillId="0" borderId="13" xfId="4" applyFont="1" applyBorder="1" applyAlignment="1">
      <alignment horizontal="center" vertical="center"/>
    </xf>
    <xf numFmtId="0" fontId="43" fillId="0" borderId="37" xfId="4" applyFont="1" applyBorder="1" applyAlignment="1">
      <alignment horizontal="center" vertical="center" wrapText="1"/>
    </xf>
    <xf numFmtId="0" fontId="43" fillId="0" borderId="32" xfId="4" applyFont="1" applyBorder="1" applyAlignment="1">
      <alignment horizontal="center" vertical="center"/>
    </xf>
    <xf numFmtId="0" fontId="43" fillId="0" borderId="27" xfId="4" applyFont="1" applyBorder="1" applyAlignment="1">
      <alignment horizontal="center" vertical="center"/>
    </xf>
    <xf numFmtId="0" fontId="43" fillId="0" borderId="35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/>
    </xf>
    <xf numFmtId="0" fontId="43" fillId="0" borderId="34" xfId="4" applyFont="1" applyBorder="1" applyAlignment="1">
      <alignment horizontal="center" vertical="center" wrapText="1"/>
    </xf>
    <xf numFmtId="0" fontId="43" fillId="0" borderId="29" xfId="4" applyFont="1" applyBorder="1" applyAlignment="1">
      <alignment horizontal="center" vertical="center"/>
    </xf>
    <xf numFmtId="0" fontId="57" fillId="0" borderId="0" xfId="4" applyFont="1" applyAlignment="1">
      <alignment horizontal="center"/>
    </xf>
    <xf numFmtId="0" fontId="41" fillId="0" borderId="14" xfId="1" applyFont="1" applyBorder="1" applyAlignment="1">
      <alignment horizontal="left" vertical="center"/>
    </xf>
    <xf numFmtId="0" fontId="41" fillId="0" borderId="13" xfId="1" applyFont="1" applyBorder="1" applyAlignment="1">
      <alignment horizontal="left" vertical="center"/>
    </xf>
    <xf numFmtId="0" fontId="43" fillId="0" borderId="41" xfId="4" applyFont="1" applyBorder="1" applyAlignment="1">
      <alignment horizontal="center" vertical="center"/>
    </xf>
    <xf numFmtId="0" fontId="43" fillId="0" borderId="39" xfId="4" applyFont="1" applyBorder="1" applyAlignment="1">
      <alignment horizontal="center" vertical="center"/>
    </xf>
    <xf numFmtId="0" fontId="43" fillId="0" borderId="38" xfId="4" applyFont="1" applyBorder="1" applyAlignment="1">
      <alignment horizontal="center" vertical="center" wrapText="1"/>
    </xf>
    <xf numFmtId="0" fontId="43" fillId="0" borderId="33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/>
    </xf>
    <xf numFmtId="0" fontId="43" fillId="0" borderId="40" xfId="4" applyFont="1" applyBorder="1" applyAlignment="1">
      <alignment horizontal="center" vertical="center"/>
    </xf>
    <xf numFmtId="0" fontId="43" fillId="0" borderId="43" xfId="4" applyFont="1" applyBorder="1" applyAlignment="1">
      <alignment horizontal="center" vertical="center" wrapText="1"/>
    </xf>
    <xf numFmtId="0" fontId="43" fillId="0" borderId="36" xfId="4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9" fontId="33" fillId="3" borderId="12" xfId="3" applyFont="1" applyFill="1" applyBorder="1" applyAlignment="1">
      <alignment horizontal="left" vertical="center"/>
    </xf>
    <xf numFmtId="9" fontId="33" fillId="3" borderId="7" xfId="3" applyFont="1" applyFill="1" applyBorder="1" applyAlignment="1">
      <alignment horizontal="left" vertical="center"/>
    </xf>
    <xf numFmtId="9" fontId="33" fillId="3" borderId="5" xfId="3" applyFont="1" applyFill="1" applyBorder="1" applyAlignment="1">
      <alignment horizontal="left" vertical="center"/>
    </xf>
    <xf numFmtId="0" fontId="57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178" fontId="22" fillId="3" borderId="0" xfId="0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182" fontId="22" fillId="3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right"/>
    </xf>
    <xf numFmtId="0" fontId="33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45" fillId="0" borderId="20" xfId="1" applyFont="1" applyBorder="1" applyAlignment="1">
      <alignment horizontal="right"/>
    </xf>
    <xf numFmtId="0" fontId="44" fillId="0" borderId="19" xfId="1" applyFont="1" applyBorder="1" applyAlignment="1">
      <alignment horizontal="right"/>
    </xf>
    <xf numFmtId="0" fontId="44" fillId="0" borderId="18" xfId="1" applyFont="1" applyBorder="1" applyAlignment="1">
      <alignment horizontal="right"/>
    </xf>
    <xf numFmtId="0" fontId="44" fillId="0" borderId="17" xfId="1" applyFont="1" applyBorder="1" applyAlignment="1">
      <alignment horizontal="right"/>
    </xf>
    <xf numFmtId="0" fontId="44" fillId="0" borderId="0" xfId="1" applyFont="1" applyAlignment="1">
      <alignment horizontal="right"/>
    </xf>
    <xf numFmtId="0" fontId="44" fillId="0" borderId="16" xfId="1" applyFont="1" applyBorder="1" applyAlignment="1">
      <alignment horizontal="right"/>
    </xf>
    <xf numFmtId="0" fontId="4" fillId="0" borderId="20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43" fillId="0" borderId="13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6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50" fillId="0" borderId="0" xfId="1" applyFont="1" applyAlignment="1">
      <alignment horizontal="center"/>
    </xf>
    <xf numFmtId="0" fontId="49" fillId="0" borderId="0" xfId="1" applyFont="1" applyAlignment="1">
      <alignment horizontal="center"/>
    </xf>
    <xf numFmtId="177" fontId="62" fillId="5" borderId="12" xfId="0" applyNumberFormat="1" applyFont="1" applyFill="1" applyBorder="1" applyAlignment="1">
      <alignment vertical="center"/>
    </xf>
    <xf numFmtId="177" fontId="17" fillId="5" borderId="11" xfId="0" applyNumberFormat="1" applyFont="1" applyFill="1" applyBorder="1" applyAlignment="1">
      <alignment horizontal="right" vertical="center"/>
    </xf>
  </cellXfs>
  <cellStyles count="6">
    <cellStyle name="백분율" xfId="3" builtinId="5"/>
    <cellStyle name="쉼표 [0]" xfId="5" builtinId="6"/>
    <cellStyle name="표준" xfId="0" builtinId="0"/>
    <cellStyle name="표준 2" xfId="1" xr:uid="{00000000-0005-0000-0000-000002000000}"/>
    <cellStyle name="표준 2 3" xfId="4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0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39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59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1.xml"/></Relationships>
</file>

<file path=xl/worksheets/_rels/sheet5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2.xml"/></Relationships>
</file>

<file path=xl/worksheets/sheet1.xml><?xml version="1.0" encoding="utf-8"?>
<worksheet xmlns="http://schemas.openxmlformats.org/spreadsheetml/2006/main">
  <sheetPr>
    <pageSetUpPr fitToPage="1"/>
    <outlinePr summaryBelow="0" summaryRight="0"/>
  </sheetPr>
  <dimension ref="A1:L68"/>
  <sheetViews>
    <sheetView workbookViewId="0" showGridLines="0" zoomScale="100" zoomScaleNormal="100">
      <selection activeCell="C20" sqref="C20"/>
    </sheetView>
  </sheetViews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s="265" t="s">
        <v>0</v>
      </c>
      <c r="C1" s="265"/>
      <c r="D1" s="265"/>
      <c r="E1" s="190"/>
    </row>
    <row r="2" ht="30" customHeight="1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ht="30" customHeight="1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ht="100.15" customHeight="1">
      <c r="A4" s="4"/>
      <c r="B4" s="269" t="s">
        <v>1</v>
      </c>
      <c r="C4" s="269"/>
      <c r="D4" s="269"/>
      <c r="E4" s="269"/>
      <c r="F4" s="269"/>
      <c r="G4" s="269"/>
      <c r="H4" s="269"/>
      <c r="I4" s="269"/>
      <c r="J4" s="269"/>
      <c r="K4" s="5"/>
    </row>
    <row r="5" ht="3" customHeight="1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ht="10.15" customHeight="1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ht="31.15" customHeight="1">
      <c r="A7" s="4"/>
      <c r="B7" s="10" t="s">
        <v>2</v>
      </c>
      <c r="C7" s="10"/>
      <c r="D7" s="191"/>
      <c r="E7" s="1"/>
      <c r="F7" s="10" t="s">
        <v>3</v>
      </c>
      <c r="G7" s="6"/>
      <c r="H7" s="6"/>
      <c r="I7" s="53" t="s">
        <v>4</v>
      </c>
      <c r="J7" s="70" t="s">
        <v>5</v>
      </c>
      <c r="K7" s="7"/>
    </row>
    <row r="8" ht="30" customHeight="1">
      <c r="A8" s="32"/>
      <c r="B8" s="11" t="s">
        <v>6</v>
      </c>
      <c r="C8" s="11"/>
      <c r="D8" s="11"/>
      <c r="E8" s="9"/>
      <c r="F8" s="12" t="s">
        <v>7</v>
      </c>
      <c r="G8" s="11"/>
      <c r="H8" s="54"/>
      <c r="I8" s="53" t="s">
        <v>8</v>
      </c>
      <c r="J8" s="71" t="s">
        <v>5</v>
      </c>
      <c r="K8" s="33"/>
    </row>
    <row r="9" ht="30" customHeight="1">
      <c r="A9" s="32"/>
      <c r="B9" s="11" t="s">
        <v>9</v>
      </c>
      <c r="C9" s="11"/>
      <c r="D9" s="11"/>
      <c r="E9" s="12"/>
      <c r="F9" s="57" t="s">
        <v>10</v>
      </c>
      <c r="G9" s="11"/>
      <c r="H9" s="55"/>
      <c r="I9" s="53" t="s">
        <v>11</v>
      </c>
      <c r="J9" s="148" t="s">
        <v>12</v>
      </c>
      <c r="K9" s="34"/>
    </row>
    <row r="10" ht="30" customHeight="1">
      <c r="A10" s="32"/>
      <c r="B10" s="11" t="s">
        <v>13</v>
      </c>
      <c r="C10" s="11"/>
      <c r="D10" s="11"/>
      <c r="E10" s="47"/>
      <c r="F10" s="11" t="s">
        <v>14</v>
      </c>
      <c r="G10" s="11"/>
      <c r="H10" s="33"/>
      <c r="I10" s="147" t="s">
        <v>15</v>
      </c>
      <c r="J10" s="148" t="s">
        <v>16</v>
      </c>
      <c r="K10" s="35"/>
    </row>
    <row r="11" ht="30" customHeight="1">
      <c r="A11" s="32"/>
      <c r="B11" s="11" t="s">
        <v>17</v>
      </c>
      <c r="C11" s="11"/>
      <c r="D11" s="11"/>
      <c r="E11" s="12"/>
      <c r="F11" s="12" t="s">
        <v>18</v>
      </c>
      <c r="G11" s="11"/>
      <c r="H11" s="33"/>
      <c r="I11" s="147" t="s">
        <v>19</v>
      </c>
      <c r="J11" s="148" t="s">
        <v>20</v>
      </c>
      <c r="K11" s="13"/>
    </row>
    <row r="12" ht="30" customHeight="1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ht="39.95" customHeight="1">
      <c r="A13" s="30"/>
      <c r="B13" s="267" t="s">
        <v>21</v>
      </c>
      <c r="C13" s="268"/>
      <c r="D13" s="268"/>
      <c r="E13" s="268"/>
      <c r="F13" s="268"/>
      <c r="G13" s="14" t="s">
        <v>22</v>
      </c>
      <c r="H13" s="14" t="s">
        <v>23</v>
      </c>
      <c r="I13" s="14" t="s">
        <v>24</v>
      </c>
      <c r="J13" s="15" t="s">
        <v>25</v>
      </c>
      <c r="K13" s="36"/>
    </row>
    <row r="14" ht="25.15" customHeight="1">
      <c r="A14" s="32"/>
      <c r="B14" s="262" t="s">
        <v>26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ht="25.15" customHeight="1">
      <c r="A15" s="32"/>
      <c r="B15" s="18" t="s">
        <v>27</v>
      </c>
      <c r="C15" s="19"/>
      <c r="D15" s="41"/>
      <c r="E15" s="41"/>
      <c r="F15" s="42"/>
      <c r="G15" s="16">
        <v>3</v>
      </c>
      <c r="H15" s="16" t="s">
        <v>28</v>
      </c>
      <c r="I15" s="17"/>
      <c r="J15" s="17"/>
      <c r="K15" s="160"/>
    </row>
    <row r="16" ht="25.15" customHeight="1">
      <c r="A16" s="153"/>
      <c r="B16" s="18"/>
      <c r="C16" s="249" t="s">
        <v>29</v>
      </c>
      <c r="D16" s="249"/>
      <c r="E16" s="249"/>
      <c r="F16" s="250"/>
      <c r="G16" s="154" t="s">
        <v>30</v>
      </c>
      <c r="H16" s="154" t="s">
        <v>31</v>
      </c>
      <c r="I16" s="155">
        <v>55200</v>
      </c>
      <c r="J16" s="293">
        <v>9549600</v>
      </c>
      <c r="K16" s="159"/>
      <c r="L16" s="37"/>
    </row>
    <row r="17" ht="25.15" customHeight="1">
      <c r="A17" s="153"/>
      <c r="B17" s="18"/>
      <c r="C17" s="249" t="s">
        <v>32</v>
      </c>
      <c r="D17" s="249"/>
      <c r="E17" s="249"/>
      <c r="F17" s="250"/>
      <c r="G17" s="156" t="s">
        <v>33</v>
      </c>
      <c r="H17" s="154" t="s">
        <v>31</v>
      </c>
      <c r="I17" s="157">
        <v>79400</v>
      </c>
      <c r="J17" s="293">
        <v>9051600</v>
      </c>
      <c r="K17" s="159"/>
      <c r="L17" s="37"/>
    </row>
    <row r="18" ht="25.15" customHeight="1">
      <c r="A18" s="153"/>
      <c r="B18" s="18"/>
      <c r="C18" s="249" t="s">
        <v>34</v>
      </c>
      <c r="D18" s="249"/>
      <c r="E18" s="249"/>
      <c r="F18" s="250"/>
      <c r="G18" s="156" t="s">
        <v>35</v>
      </c>
      <c r="H18" s="154" t="s">
        <v>31</v>
      </c>
      <c r="I18" s="157">
        <v>70200</v>
      </c>
      <c r="J18" s="293">
        <v>3229200</v>
      </c>
      <c r="K18" s="159"/>
      <c r="L18" s="37"/>
    </row>
    <row r="19" ht="25.15" customHeight="1">
      <c r="A19" s="153"/>
      <c r="B19" s="18"/>
      <c r="C19" s="249" t="s">
        <v>36</v>
      </c>
      <c r="D19" s="249"/>
      <c r="E19" s="249"/>
      <c r="F19" s="250"/>
      <c r="G19" s="156" t="s">
        <v>37</v>
      </c>
      <c r="H19" s="154" t="s">
        <v>31</v>
      </c>
      <c r="I19" s="157">
        <v>90900</v>
      </c>
      <c r="J19" s="293">
        <v>909000</v>
      </c>
      <c r="K19" s="159"/>
      <c r="L19" s="37"/>
    </row>
    <row r="20" ht="25.15" customHeight="1">
      <c r="A20" s="153"/>
      <c r="B20" s="18"/>
      <c r="C20" s="249" t="s">
        <v>38</v>
      </c>
      <c r="D20" s="249"/>
      <c r="E20" s="249"/>
      <c r="F20" s="250"/>
      <c r="G20" s="156" t="s">
        <v>39</v>
      </c>
      <c r="H20" s="154" t="s">
        <v>31</v>
      </c>
      <c r="I20" s="157">
        <v>39100</v>
      </c>
      <c r="J20" s="293">
        <v>4731100</v>
      </c>
      <c r="K20" s="159"/>
      <c r="L20" s="37"/>
    </row>
    <row r="21" ht="25.15" customHeight="1">
      <c r="A21" s="153"/>
      <c r="B21" s="18"/>
      <c r="C21" s="249" t="s">
        <v>40</v>
      </c>
      <c r="D21" s="249"/>
      <c r="E21" s="249"/>
      <c r="F21" s="250"/>
      <c r="G21" s="156" t="s">
        <v>41</v>
      </c>
      <c r="H21" s="154" t="s">
        <v>31</v>
      </c>
      <c r="I21" s="157">
        <v>44965</v>
      </c>
      <c r="J21" s="293">
        <v>1214055</v>
      </c>
      <c r="K21" s="159"/>
      <c r="L21" s="37"/>
    </row>
    <row r="22" ht="25.15" customHeight="1">
      <c r="A22" s="32"/>
      <c r="B22" s="18"/>
      <c r="C22" s="19"/>
      <c r="D22" s="19"/>
      <c r="E22" s="19"/>
      <c r="F22" s="20"/>
      <c r="G22" s="81" t="s">
        <v>5</v>
      </c>
      <c r="H22" s="16" t="s">
        <v>5</v>
      </c>
      <c r="I22" s="22" t="s">
        <v>5</v>
      </c>
      <c r="J22" s="158" t="s">
        <v>5</v>
      </c>
      <c r="K22" s="159"/>
    </row>
    <row r="23" ht="25.15" customHeight="1">
      <c r="A23" s="32"/>
      <c r="B23" s="18" t="s">
        <v>42</v>
      </c>
      <c r="C23" s="41"/>
      <c r="D23" s="41"/>
      <c r="E23" s="41"/>
      <c r="F23" s="42"/>
      <c r="G23" s="16">
        <v>14</v>
      </c>
      <c r="H23" s="21" t="s">
        <v>28</v>
      </c>
      <c r="I23" s="22"/>
      <c r="J23" s="294"/>
      <c r="K23" s="159"/>
    </row>
    <row r="24" ht="25.15" customHeight="1">
      <c r="A24" s="153"/>
      <c r="B24" s="18"/>
      <c r="C24" s="249" t="s">
        <v>29</v>
      </c>
      <c r="D24" s="249"/>
      <c r="E24" s="249"/>
      <c r="F24" s="250"/>
      <c r="G24" s="154" t="s">
        <v>43</v>
      </c>
      <c r="H24" s="154" t="s">
        <v>31</v>
      </c>
      <c r="I24" s="155">
        <v>42600</v>
      </c>
      <c r="J24" s="293">
        <v>3578400</v>
      </c>
      <c r="K24" s="159"/>
      <c r="L24" s="37"/>
    </row>
    <row r="25" ht="25.15" customHeight="1">
      <c r="A25" s="153"/>
      <c r="B25" s="18"/>
      <c r="C25" s="249" t="s">
        <v>32</v>
      </c>
      <c r="D25" s="249"/>
      <c r="E25" s="249"/>
      <c r="F25" s="250"/>
      <c r="G25" s="156" t="s">
        <v>44</v>
      </c>
      <c r="H25" s="154" t="s">
        <v>31</v>
      </c>
      <c r="I25" s="157">
        <v>62100</v>
      </c>
      <c r="J25" s="293">
        <v>993600</v>
      </c>
      <c r="K25" s="159"/>
      <c r="L25" s="37"/>
    </row>
    <row r="26" ht="25.15" customHeight="1">
      <c r="A26" s="153"/>
      <c r="B26" s="18"/>
      <c r="C26" s="249" t="s">
        <v>34</v>
      </c>
      <c r="D26" s="249"/>
      <c r="E26" s="249"/>
      <c r="F26" s="250"/>
      <c r="G26" s="154" t="s">
        <v>45</v>
      </c>
      <c r="H26" s="154" t="s">
        <v>31</v>
      </c>
      <c r="I26" s="155">
        <v>52900</v>
      </c>
      <c r="J26" s="293">
        <v>1481200</v>
      </c>
      <c r="K26" s="159"/>
      <c r="L26" s="37"/>
    </row>
    <row r="27" ht="25.15" customHeight="1">
      <c r="A27" s="153"/>
      <c r="B27" s="18"/>
      <c r="C27" s="249" t="s">
        <v>36</v>
      </c>
      <c r="D27" s="249"/>
      <c r="E27" s="249"/>
      <c r="F27" s="250"/>
      <c r="G27" s="156" t="s">
        <v>46</v>
      </c>
      <c r="H27" s="154" t="s">
        <v>31</v>
      </c>
      <c r="I27" s="157">
        <v>71300</v>
      </c>
      <c r="J27" s="293">
        <v>2852000</v>
      </c>
      <c r="K27" s="159"/>
      <c r="L27" s="37"/>
    </row>
    <row r="28" ht="25.15" customHeight="1">
      <c r="A28" s="153"/>
      <c r="B28" s="18"/>
      <c r="C28" s="249" t="s">
        <v>38</v>
      </c>
      <c r="D28" s="249"/>
      <c r="E28" s="249"/>
      <c r="F28" s="250"/>
      <c r="G28" s="156" t="s">
        <v>47</v>
      </c>
      <c r="H28" s="154" t="s">
        <v>31</v>
      </c>
      <c r="I28" s="157">
        <v>31100</v>
      </c>
      <c r="J28" s="293">
        <v>1741600</v>
      </c>
      <c r="K28" s="159"/>
      <c r="L28" s="37"/>
    </row>
    <row r="29" ht="25.15" customHeight="1">
      <c r="A29" s="153"/>
      <c r="B29" s="18"/>
      <c r="C29" s="249" t="s">
        <v>40</v>
      </c>
      <c r="D29" s="249"/>
      <c r="E29" s="249"/>
      <c r="F29" s="250"/>
      <c r="G29" s="156" t="s">
        <v>45</v>
      </c>
      <c r="H29" s="154" t="s">
        <v>31</v>
      </c>
      <c r="I29" s="157">
        <v>35765</v>
      </c>
      <c r="J29" s="293">
        <v>1001420</v>
      </c>
      <c r="K29" s="159"/>
      <c r="L29" s="37"/>
    </row>
    <row r="30" ht="25.15" customHeight="1">
      <c r="A30" s="32"/>
      <c r="B30" s="29"/>
      <c r="C30" s="19"/>
      <c r="D30" s="19"/>
      <c r="E30" s="19"/>
      <c r="F30" s="20"/>
      <c r="G30" s="21" t="s">
        <v>5</v>
      </c>
      <c r="H30" s="81" t="s">
        <v>5</v>
      </c>
      <c r="I30" s="22" t="s">
        <v>5</v>
      </c>
      <c r="J30" s="177" t="s">
        <v>5</v>
      </c>
      <c r="K30" s="160"/>
    </row>
    <row r="31" ht="25.9" customHeight="1">
      <c r="A31" s="32"/>
      <c r="B31" s="82" t="s">
        <v>48</v>
      </c>
      <c r="C31" s="83"/>
      <c r="D31" s="84"/>
      <c r="E31" s="84"/>
      <c r="F31" s="85"/>
      <c r="G31" s="86">
        <v>1</v>
      </c>
      <c r="H31" s="87" t="s">
        <v>49</v>
      </c>
      <c r="I31" s="88">
        <v>0</v>
      </c>
      <c r="J31" s="177">
        <f>I31*G31</f>
      </c>
      <c r="K31" s="160"/>
    </row>
    <row r="32" ht="25.9" customHeight="1">
      <c r="A32" s="32"/>
      <c r="B32" s="185"/>
      <c r="C32" s="249" t="s">
        <v>50</v>
      </c>
      <c r="D32" s="249"/>
      <c r="E32" s="249"/>
      <c r="F32" s="250"/>
      <c r="G32" s="86"/>
      <c r="H32" s="87"/>
      <c r="I32" s="88"/>
      <c r="J32" s="177"/>
      <c r="K32" s="37"/>
    </row>
    <row r="33" ht="25.9" customHeight="1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ht="25.9" customHeight="1">
      <c r="A34" s="32"/>
      <c r="B34" s="246" t="s">
        <v>51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ht="25.15" customHeight="1">
      <c r="A35" s="32"/>
      <c r="B35" s="43"/>
      <c r="C35" s="249" t="s">
        <v>52</v>
      </c>
      <c r="D35" s="249"/>
      <c r="E35" s="249"/>
      <c r="F35" s="250"/>
      <c r="G35" s="21">
        <v>68</v>
      </c>
      <c r="H35" s="24" t="s">
        <v>53</v>
      </c>
      <c r="I35" s="25">
        <v>15000</v>
      </c>
      <c r="J35" s="177">
        <v>1020000</v>
      </c>
      <c r="K35" s="37"/>
    </row>
    <row r="36" ht="25.15" customHeight="1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ht="25.15" customHeight="1">
      <c r="A37" s="77"/>
      <c r="B37" s="251" t="s">
        <v>54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ht="25.15" customHeight="1">
      <c r="A38" s="32"/>
      <c r="B38" s="49"/>
      <c r="C38" s="75" t="s">
        <v>55</v>
      </c>
      <c r="D38" s="75"/>
      <c r="E38" s="75"/>
      <c r="F38" s="76"/>
      <c r="G38" s="151"/>
      <c r="H38" s="24" t="s">
        <v>56</v>
      </c>
      <c r="I38" s="176">
        <v>500</v>
      </c>
      <c r="J38" s="23">
        <f>I38*G38</f>
      </c>
      <c r="K38" s="37"/>
    </row>
    <row r="39" ht="25.15" customHeight="1">
      <c r="A39" s="32"/>
      <c r="B39" s="49"/>
      <c r="C39" s="75" t="s">
        <v>57</v>
      </c>
      <c r="D39" s="75"/>
      <c r="E39" s="75"/>
      <c r="F39" s="76"/>
      <c r="G39" s="151"/>
      <c r="H39" s="24" t="s">
        <v>56</v>
      </c>
      <c r="I39" s="176">
        <v>500</v>
      </c>
      <c r="J39" s="23">
        <f>I39*G39</f>
      </c>
      <c r="K39" s="37"/>
    </row>
    <row r="40" ht="25.15" customHeight="1">
      <c r="A40" s="32"/>
      <c r="B40" s="43"/>
      <c r="C40" s="75" t="s">
        <v>58</v>
      </c>
      <c r="D40" s="19"/>
      <c r="E40" s="19"/>
      <c r="F40" s="20"/>
      <c r="G40" s="151"/>
      <c r="H40" s="98"/>
      <c r="I40" s="98"/>
      <c r="J40" s="23">
        <f>I40*G40</f>
      </c>
      <c r="K40" s="37"/>
    </row>
    <row r="41" ht="25.15" customHeight="1">
      <c r="A41" s="32"/>
      <c r="B41" s="43"/>
      <c r="C41" s="75" t="s">
        <v>59</v>
      </c>
      <c r="D41" s="19"/>
      <c r="E41" s="19"/>
      <c r="F41" s="20"/>
      <c r="G41" s="151"/>
      <c r="H41" s="98"/>
      <c r="I41" s="98"/>
      <c r="J41" s="23">
        <f>I41*G41</f>
      </c>
      <c r="K41" s="37"/>
    </row>
    <row r="42" ht="25.15" customHeight="1">
      <c r="A42" s="32"/>
      <c r="B42" s="43"/>
      <c r="C42" s="75"/>
      <c r="D42" s="19"/>
      <c r="E42" s="19"/>
      <c r="F42" s="20"/>
      <c r="G42" s="151"/>
      <c r="H42" s="98"/>
      <c r="I42" s="98"/>
      <c r="J42" s="23">
        <f>I42*G42</f>
      </c>
      <c r="K42" s="37"/>
    </row>
    <row r="43" ht="25.15" customHeight="1">
      <c r="A43" s="32"/>
      <c r="B43" s="246" t="s">
        <v>60</v>
      </c>
      <c r="C43" s="247"/>
      <c r="D43" s="247"/>
      <c r="E43" s="247"/>
      <c r="F43" s="248"/>
      <c r="G43" s="151"/>
      <c r="H43" s="24" t="s">
        <v>61</v>
      </c>
      <c r="I43" s="25"/>
      <c r="J43" s="23">
        <f>I43*G43</f>
      </c>
      <c r="K43" s="37"/>
    </row>
    <row r="44" ht="25.15" customHeight="1">
      <c r="A44" s="32"/>
      <c r="B44" s="43"/>
      <c r="C44" s="19" t="s">
        <v>62</v>
      </c>
      <c r="D44" s="174"/>
      <c r="E44" s="174"/>
      <c r="F44" s="175"/>
      <c r="G44" s="151"/>
      <c r="H44" s="24"/>
      <c r="I44" s="25"/>
      <c r="J44" s="23"/>
      <c r="K44" s="37"/>
    </row>
    <row r="45" ht="25.15" customHeight="1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ht="25.15" customHeight="1">
      <c r="A46" s="32"/>
      <c r="B46" s="73"/>
      <c r="C46" s="95"/>
      <c r="D46" s="48"/>
      <c r="E46" s="48"/>
      <c r="F46" s="48"/>
      <c r="G46" s="74"/>
      <c r="H46" s="52" t="s">
        <v>63</v>
      </c>
      <c r="I46" s="260">
        <f>SUM(J15:J45)</f>
      </c>
      <c r="J46" s="260"/>
      <c r="K46" s="37"/>
    </row>
    <row r="47" ht="25.15" customHeight="1">
      <c r="A47" s="32"/>
      <c r="B47" s="256"/>
      <c r="C47" s="256"/>
      <c r="D47" s="256"/>
      <c r="E47" s="256"/>
      <c r="F47" s="51"/>
      <c r="G47" s="51"/>
      <c r="H47" s="52" t="s">
        <v>63</v>
      </c>
      <c r="I47" s="258">
        <f>I46/J48</f>
      </c>
      <c r="J47" s="258"/>
      <c r="K47" s="37"/>
    </row>
    <row r="48" ht="30" customHeight="1">
      <c r="A48" s="4"/>
      <c r="B48" s="161"/>
      <c r="C48" s="161"/>
      <c r="D48" s="161"/>
      <c r="E48" s="161"/>
      <c r="F48" s="261" t="s">
        <v>64</v>
      </c>
      <c r="G48" s="261"/>
      <c r="H48" s="261"/>
      <c r="I48" s="261"/>
      <c r="J48" s="163">
        <v>1608.02</v>
      </c>
      <c r="K48" s="8"/>
    </row>
    <row r="49" ht="24.6" customHeight="1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65</v>
      </c>
      <c r="K49" s="166"/>
    </row>
    <row r="50" ht="24.6" customHeight="1">
      <c r="A50" s="4"/>
      <c r="B50" s="26"/>
      <c r="C50" s="26"/>
      <c r="D50" s="26"/>
      <c r="E50" s="26"/>
      <c r="F50" s="27"/>
      <c r="G50" s="27"/>
      <c r="H50" s="27"/>
      <c r="I50" s="28"/>
      <c r="J50" s="56" t="s">
        <v>66</v>
      </c>
      <c r="K50" s="8"/>
    </row>
    <row r="51" ht="25.15" customHeight="1">
      <c r="A51" s="4"/>
      <c r="B51" s="257" t="s">
        <v>67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ht="18" customHeight="1">
      <c r="A52" s="4"/>
      <c r="B52" s="255" t="s">
        <v>68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ht="15" customHeight="1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ht="16.15" customHeight="1">
      <c r="A54" s="30"/>
      <c r="B54" s="257" t="s">
        <v>69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ht="19.9" customHeight="1">
      <c r="A55" s="30"/>
      <c r="B55" s="189" t="s">
        <v>70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ht="19.9" customHeight="1">
      <c r="A56" s="30"/>
      <c r="B56" s="189" t="s">
        <v>71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ht="19.9" customHeight="1">
      <c r="A57" s="30"/>
      <c r="B57" s="189" t="s">
        <v>72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ht="19.9" customHeight="1">
      <c r="A58" s="30"/>
      <c r="B58" s="189" t="s">
        <v>73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ht="19.9" customHeight="1">
      <c r="A59" s="30"/>
      <c r="B59" s="189" t="s">
        <v>74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ht="19.9" customHeight="1">
      <c r="A60" s="30"/>
      <c r="B60" s="189" t="s">
        <v>75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ht="19.9" customHeight="1">
      <c r="A61" s="30"/>
      <c r="B61" s="189" t="s">
        <v>76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ht="19.9" customHeight="1">
      <c r="A62" s="30"/>
      <c r="B62" s="189" t="s">
        <v>77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ht="15.6" customHeight="1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ht="3" customHeight="1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ht="36.6" customHeight="1">
      <c r="B65" s="254" t="s">
        <v>78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ht="18" customHeight="1">
      <c r="B66" s="254" t="s">
        <v>79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8" ht="16.9" customHeight="1">
      <c r="K68" s="93"/>
    </row>
  </sheetData>
  <mergeCells count="34">
    <mergeCell ref="B1:D2"/>
    <mergeCell ref="I2:J2"/>
    <mergeCell ref="B4:J4"/>
    <mergeCell ref="B13:F13"/>
    <mergeCell ref="B14:F14"/>
    <mergeCell ref="B15:F15"/>
    <mergeCell ref="C16:F16"/>
    <mergeCell ref="C17:F17"/>
    <mergeCell ref="C18:F18"/>
    <mergeCell ref="C19:F19"/>
    <mergeCell ref="C20:F20"/>
    <mergeCell ref="C21:F21"/>
    <mergeCell ref="B23:F23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N46"/>
  <sheetViews>
    <sheetView workbookViewId="0" zoomScale="100" zoomScaleNormal="55" view="pageBreakPreview">
      <selection activeCell="B14" sqref="B14"/>
    </sheetView>
  </sheetViews>
  <sheetFormatPr defaultRowHeight="16.5" outlineLevelRow="0" outlineLevelCol="0" defaultColWidth="8.8554687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16384" width="8.85546875" customWidth="1"/>
  </cols>
  <sheetData>
    <row r="1" ht="30" customHeight="1">
      <c r="B1" s="290" t="s">
        <v>80</v>
      </c>
      <c r="C1" s="290"/>
      <c r="D1" s="290"/>
    </row>
    <row r="2" ht="30" customHeight="1">
      <c r="B2" s="290"/>
      <c r="C2" s="290"/>
      <c r="D2" s="290"/>
    </row>
    <row r="3" ht="100.15" customHeight="1">
      <c r="E3" s="291" t="s">
        <v>81</v>
      </c>
      <c r="F3" s="292"/>
      <c r="G3" s="292"/>
      <c r="H3" s="292"/>
      <c r="I3" s="292"/>
      <c r="J3" s="292"/>
      <c r="K3" s="292"/>
    </row>
    <row r="4" ht="3" customHeight="1">
      <c r="A4" s="58"/>
      <c r="E4" s="66"/>
      <c r="F4" s="66"/>
      <c r="G4" s="66"/>
      <c r="H4" s="66"/>
      <c r="I4" s="66"/>
      <c r="J4" s="66"/>
      <c r="N4" s="58"/>
    </row>
    <row r="5" ht="19.9" customHeight="1">
      <c r="E5" s="65"/>
      <c r="F5" s="65"/>
      <c r="G5" s="65"/>
      <c r="H5" s="65"/>
      <c r="I5" s="65"/>
      <c r="J5" s="65"/>
    </row>
    <row r="6" ht="25.15" customHeight="1">
      <c r="B6" s="206" t="s">
        <v>82</v>
      </c>
      <c r="C6" s="207"/>
      <c r="D6" s="208"/>
      <c r="E6" s="206" t="s">
        <v>83</v>
      </c>
      <c r="F6" s="207"/>
      <c r="G6" s="208"/>
      <c r="H6" s="206" t="s">
        <v>84</v>
      </c>
      <c r="I6" s="207"/>
      <c r="J6" s="208"/>
      <c r="K6" s="206" t="s">
        <v>85</v>
      </c>
      <c r="L6" s="207"/>
      <c r="M6" s="208"/>
    </row>
    <row r="7" ht="25.15" customHeight="1">
      <c r="B7" s="200"/>
      <c r="C7" s="201"/>
      <c r="D7" s="202"/>
      <c r="E7" s="200"/>
      <c r="F7" s="201"/>
      <c r="G7" s="202"/>
      <c r="H7" s="200" t="s">
        <v>86</v>
      </c>
      <c r="I7" s="201"/>
      <c r="J7" s="202"/>
      <c r="K7" s="200"/>
      <c r="L7" s="201"/>
      <c r="M7" s="202"/>
    </row>
    <row r="8" ht="25.15" customHeight="1">
      <c r="B8" s="200" t="s">
        <v>87</v>
      </c>
      <c r="C8" s="201"/>
      <c r="D8" s="202"/>
      <c r="E8" s="200" t="s">
        <v>88</v>
      </c>
      <c r="F8" s="201"/>
      <c r="G8" s="202"/>
      <c r="H8" s="200" t="s">
        <v>89</v>
      </c>
      <c r="I8" s="201"/>
      <c r="J8" s="202"/>
      <c r="K8" s="200" t="s">
        <v>90</v>
      </c>
      <c r="L8" s="201"/>
      <c r="M8" s="202"/>
    </row>
    <row r="9" ht="25.15" customHeight="1">
      <c r="B9" s="200"/>
      <c r="C9" s="201"/>
      <c r="D9" s="202"/>
      <c r="E9" s="200"/>
      <c r="F9" s="201"/>
      <c r="G9" s="202"/>
      <c r="H9" s="200"/>
      <c r="I9" s="201"/>
      <c r="J9" s="202"/>
      <c r="K9" s="200"/>
      <c r="L9" s="201"/>
      <c r="M9" s="202"/>
    </row>
    <row r="10" ht="22.9" customHeight="1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ht="24.75" customHeight="1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ht="24.75" customHeight="1">
      <c r="B12" s="288" t="s">
        <v>91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ht="24.75" customHeight="1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ht="24.75" customHeight="1">
      <c r="B14" s="61" t="s">
        <v>92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ht="24.75" customHeight="1">
      <c r="B15" s="61" t="s">
        <v>93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ht="24.75" customHeight="1">
      <c r="B16" s="96" t="s">
        <v>94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ht="24.75" customHeight="1">
      <c r="B17" s="96" t="s">
        <v>95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ht="24.75" customHeight="1">
      <c r="B18" s="96" t="s">
        <v>96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ht="24.75" customHeight="1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ht="24.75" customHeight="1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ht="24.75" customHeight="1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ht="24.75" customHeight="1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ht="24.75" customHeight="1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ht="24.75" customHeight="1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ht="24.75" customHeight="1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ht="24.75" customHeight="1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ht="24.75" customHeight="1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ht="24.75" customHeight="1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ht="24.75" customHeight="1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ht="24.75" customHeight="1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ht="24.75" customHeight="1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ht="24.75" customHeight="1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ht="24.75" customHeight="1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ht="24.75" customHeight="1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ht="24.75" customHeight="1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ht="24.75" customHeight="1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ht="24.75" customHeight="1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ht="24.75" customHeight="1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ht="24.75" customHeight="1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ht="64.15" customHeight="1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ht="30" customHeight="1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ht="58.15" customHeight="1">
      <c r="B42" s="285" t="s">
        <v>97</v>
      </c>
      <c r="C42" s="286"/>
      <c r="D42" s="286"/>
      <c r="E42" s="286"/>
      <c r="F42" s="286"/>
      <c r="G42" s="287"/>
      <c r="H42" s="282" t="s">
        <v>98</v>
      </c>
      <c r="I42" s="283"/>
      <c r="J42" s="283"/>
      <c r="K42" s="283"/>
      <c r="L42" s="283"/>
      <c r="M42" s="284"/>
    </row>
    <row r="43" ht="19.9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ht="3" customHeight="1">
      <c r="A44" s="58"/>
      <c r="N44" s="58"/>
    </row>
    <row r="45" ht="32.45" customHeight="1">
      <c r="B45" s="254" t="s">
        <v>78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ht="15" customHeight="1">
      <c r="B46" s="254" t="s">
        <v>79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5.xml><?xml version="1.0" encoding="utf-8"?>
<worksheet xmlns:r="http://schemas.openxmlformats.org/officeDocument/2006/relationships" xmlns="http://schemas.openxmlformats.org/spreadsheetml/2006/main">
  <dimension ref="A1:O66"/>
  <sheetViews>
    <sheetView workbookViewId="0" zoomScale="100" zoomScaleNormal="55" view="pageBreakPreview">
      <selection activeCell="J32" sqref="J32"/>
    </sheetView>
  </sheetViews>
  <sheetFormatPr defaultRowHeight="16.5" outlineLevelRow="0" outlineLevelCol="0" defaultColWidth="8.5703125" customHeight="1"/>
  <cols>
    <col min="1" max="1" width="1.28515625" customWidth="1"/>
    <col min="2" max="3" width="10.7109375" customWidth="1"/>
    <col min="4" max="5" width="11" customWidth="1"/>
    <col min="6" max="6" width="10.7109375" customWidth="1"/>
    <col min="7" max="7" width="13.28515625" customWidth="1"/>
    <col min="8" max="9" width="14.42578125" customWidth="1"/>
    <col min="10" max="10" width="13.28515625" customWidth="1"/>
    <col min="11" max="12" width="9.42578125" customWidth="1"/>
    <col min="13" max="13" width="8.7109375" customWidth="1"/>
    <col min="14" max="14" width="1.28515625" customWidth="1"/>
    <col min="15" max="16384" width="8.5703125" customWidth="1"/>
  </cols>
  <sheetData>
    <row r="1" ht="30" customHeight="1">
      <c r="B1" s="203" t="s">
        <v>80</v>
      </c>
      <c r="C1" s="203"/>
      <c r="D1" s="203"/>
    </row>
    <row r="2" ht="30" customHeight="1">
      <c r="B2" s="203"/>
      <c r="C2" s="203"/>
      <c r="D2" s="203"/>
    </row>
    <row r="3" ht="100.15" customHeight="1">
      <c r="E3" s="204" t="s">
        <v>99</v>
      </c>
      <c r="F3" s="205"/>
      <c r="G3" s="205"/>
      <c r="H3" s="205"/>
      <c r="I3" s="205"/>
      <c r="J3" s="205"/>
      <c r="K3" s="184"/>
    </row>
    <row r="4" ht="3" customHeight="1">
      <c r="A4" s="99"/>
      <c r="E4" s="144"/>
      <c r="F4" s="144"/>
      <c r="G4" s="144"/>
      <c r="H4" s="144"/>
      <c r="I4" s="144"/>
      <c r="N4" s="99"/>
    </row>
    <row r="5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43"/>
      <c r="K5" s="124"/>
      <c r="L5" s="124"/>
      <c r="M5" s="124"/>
    </row>
    <row r="6" ht="25.15" customHeight="1">
      <c r="B6" s="206" t="s">
        <v>82</v>
      </c>
      <c r="C6" s="207"/>
      <c r="D6" s="208"/>
      <c r="E6" s="206" t="s">
        <v>83</v>
      </c>
      <c r="F6" s="207"/>
      <c r="G6" s="208"/>
      <c r="H6" s="170" t="s">
        <v>84</v>
      </c>
      <c r="I6" s="171"/>
      <c r="J6" s="207" t="s">
        <v>85</v>
      </c>
      <c r="K6" s="207"/>
      <c r="L6" s="207"/>
      <c r="M6" s="208"/>
      <c r="N6" s="141"/>
    </row>
    <row r="7" ht="25.15" customHeight="1">
      <c r="B7" s="200" t="s">
        <v>100</v>
      </c>
      <c r="C7" s="201"/>
      <c r="D7" s="202"/>
      <c r="E7" s="200" t="s">
        <v>101</v>
      </c>
      <c r="F7" s="201"/>
      <c r="G7" s="202"/>
      <c r="H7" s="61" t="s">
        <v>86</v>
      </c>
      <c r="I7" s="172"/>
      <c r="J7" s="201" t="s">
        <v>102</v>
      </c>
      <c r="K7" s="201"/>
      <c r="L7" s="201"/>
      <c r="M7" s="202"/>
      <c r="N7" s="142"/>
    </row>
    <row r="8" ht="25.15" customHeight="1">
      <c r="B8" s="200" t="s">
        <v>87</v>
      </c>
      <c r="C8" s="201"/>
      <c r="D8" s="202"/>
      <c r="E8" s="200" t="s">
        <v>88</v>
      </c>
      <c r="F8" s="201"/>
      <c r="G8" s="202"/>
      <c r="H8" s="200" t="s">
        <v>89</v>
      </c>
      <c r="I8" s="202"/>
      <c r="J8" s="201" t="s">
        <v>90</v>
      </c>
      <c r="K8" s="201"/>
      <c r="L8" s="201"/>
      <c r="M8" s="202"/>
      <c r="N8" s="141"/>
    </row>
    <row r="9" ht="25.15" customHeight="1" thickBot="1">
      <c r="B9" s="200" t="s">
        <v>103</v>
      </c>
      <c r="C9" s="201"/>
      <c r="D9" s="202"/>
      <c r="E9" s="200" t="s">
        <v>104</v>
      </c>
      <c r="F9" s="201"/>
      <c r="G9" s="202"/>
      <c r="H9" s="61"/>
      <c r="I9" s="173"/>
      <c r="J9" s="234" t="s">
        <v>105</v>
      </c>
      <c r="K9" s="234"/>
      <c r="L9" s="234"/>
      <c r="M9" s="235"/>
      <c r="N9" s="140"/>
    </row>
    <row r="10" ht="8.25" customHeight="1" thickBot="1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ht="21.75" customHeight="1">
      <c r="B11" s="236" t="s">
        <v>106</v>
      </c>
      <c r="C11" s="237"/>
      <c r="D11" s="237"/>
      <c r="E11" s="237"/>
      <c r="F11" s="238" t="s">
        <v>107</v>
      </c>
      <c r="G11" s="243" t="s">
        <v>108</v>
      </c>
      <c r="H11" s="237"/>
      <c r="I11" s="237"/>
      <c r="J11" s="237"/>
      <c r="K11" s="237"/>
      <c r="L11" s="237"/>
      <c r="M11" s="226" t="s">
        <v>109</v>
      </c>
      <c r="N11" s="139"/>
    </row>
    <row r="12" ht="53.45" customHeight="1">
      <c r="B12" s="195" t="s">
        <v>110</v>
      </c>
      <c r="C12" s="186" t="s">
        <v>111</v>
      </c>
      <c r="D12" s="229" t="s">
        <v>112</v>
      </c>
      <c r="E12" s="231" t="s">
        <v>113</v>
      </c>
      <c r="F12" s="239"/>
      <c r="G12" s="241" t="s">
        <v>114</v>
      </c>
      <c r="H12" s="242"/>
      <c r="I12" s="241" t="s">
        <v>115</v>
      </c>
      <c r="J12" s="242"/>
      <c r="K12" s="244" t="s">
        <v>116</v>
      </c>
      <c r="L12" s="245"/>
      <c r="M12" s="227"/>
      <c r="N12" s="104"/>
    </row>
    <row r="13" ht="34.15" customHeight="1" thickBot="1">
      <c r="B13" s="138" t="s">
        <v>117</v>
      </c>
      <c r="C13" s="137" t="s">
        <v>118</v>
      </c>
      <c r="D13" s="230"/>
      <c r="E13" s="232"/>
      <c r="F13" s="240"/>
      <c r="G13" s="169" t="s">
        <v>119</v>
      </c>
      <c r="H13" s="169" t="s">
        <v>120</v>
      </c>
      <c r="I13" s="169" t="s">
        <v>121</v>
      </c>
      <c r="J13" s="169" t="s">
        <v>120</v>
      </c>
      <c r="K13" s="187" t="s">
        <v>122</v>
      </c>
      <c r="L13" s="187" t="s">
        <v>123</v>
      </c>
      <c r="M13" s="228"/>
      <c r="N13" s="104"/>
    </row>
    <row r="14" ht="24.95" customHeight="1">
      <c r="B14" s="136" t="s">
        <v>124</v>
      </c>
      <c r="C14" s="135" t="s">
        <v>125</v>
      </c>
      <c r="D14" s="134" t="s">
        <v>126</v>
      </c>
      <c r="E14" s="134" t="s">
        <v>127</v>
      </c>
      <c r="F14" s="128">
        <v>8</v>
      </c>
      <c r="G14" s="133">
        <v>8</v>
      </c>
      <c r="H14" s="133" t="s">
        <v>5</v>
      </c>
      <c r="I14" s="133" t="s">
        <v>5</v>
      </c>
      <c r="J14" s="133" t="s">
        <v>5</v>
      </c>
      <c r="K14" s="133" t="s">
        <v>5</v>
      </c>
      <c r="L14" s="133" t="s">
        <v>5</v>
      </c>
      <c r="M14" s="132"/>
      <c r="N14" s="131"/>
    </row>
    <row r="15" ht="24.95" customHeight="1">
      <c r="B15" s="136" t="s">
        <v>124</v>
      </c>
      <c r="C15" s="135" t="s">
        <v>125</v>
      </c>
      <c r="D15" s="134" t="s">
        <v>126</v>
      </c>
      <c r="E15" s="134" t="s">
        <v>127</v>
      </c>
      <c r="F15" s="128">
        <v>8</v>
      </c>
      <c r="G15" s="133">
        <v>8</v>
      </c>
      <c r="H15" s="133" t="s">
        <v>5</v>
      </c>
      <c r="I15" s="133" t="s">
        <v>5</v>
      </c>
      <c r="J15" s="133" t="s">
        <v>5</v>
      </c>
      <c r="K15" s="133" t="s">
        <v>5</v>
      </c>
      <c r="L15" s="133" t="s">
        <v>5</v>
      </c>
      <c r="M15" s="132"/>
      <c r="N15" s="131"/>
    </row>
    <row r="16" ht="24.95" customHeight="1">
      <c r="B16" s="136" t="s">
        <v>124</v>
      </c>
      <c r="C16" s="135" t="s">
        <v>125</v>
      </c>
      <c r="D16" s="134" t="s">
        <v>126</v>
      </c>
      <c r="E16" s="134" t="s">
        <v>127</v>
      </c>
      <c r="F16" s="128">
        <v>8</v>
      </c>
      <c r="G16" s="133">
        <v>8</v>
      </c>
      <c r="H16" s="133" t="s">
        <v>5</v>
      </c>
      <c r="I16" s="133" t="s">
        <v>5</v>
      </c>
      <c r="J16" s="133" t="s">
        <v>5</v>
      </c>
      <c r="K16" s="133" t="s">
        <v>5</v>
      </c>
      <c r="L16" s="133" t="s">
        <v>5</v>
      </c>
      <c r="M16" s="132"/>
      <c r="N16" s="131"/>
    </row>
    <row r="17" ht="24.95" customHeight="1">
      <c r="B17" s="136" t="s">
        <v>124</v>
      </c>
      <c r="C17" s="135" t="s">
        <v>125</v>
      </c>
      <c r="D17" s="134" t="s">
        <v>126</v>
      </c>
      <c r="E17" s="134" t="s">
        <v>127</v>
      </c>
      <c r="F17" s="128">
        <v>8</v>
      </c>
      <c r="G17" s="133">
        <v>8</v>
      </c>
      <c r="H17" s="133" t="s">
        <v>5</v>
      </c>
      <c r="I17" s="133" t="s">
        <v>5</v>
      </c>
      <c r="J17" s="133" t="s">
        <v>5</v>
      </c>
      <c r="K17" s="133" t="s">
        <v>5</v>
      </c>
      <c r="L17" s="133" t="s">
        <v>5</v>
      </c>
      <c r="M17" s="132"/>
      <c r="N17" s="131"/>
    </row>
    <row r="18" ht="24.95" customHeight="1">
      <c r="B18" s="136" t="s">
        <v>124</v>
      </c>
      <c r="C18" s="135" t="s">
        <v>125</v>
      </c>
      <c r="D18" s="134" t="s">
        <v>126</v>
      </c>
      <c r="E18" s="134" t="s">
        <v>127</v>
      </c>
      <c r="F18" s="128">
        <v>8</v>
      </c>
      <c r="G18" s="133">
        <v>8</v>
      </c>
      <c r="H18" s="133" t="s">
        <v>5</v>
      </c>
      <c r="I18" s="133" t="s">
        <v>5</v>
      </c>
      <c r="J18" s="133" t="s">
        <v>5</v>
      </c>
      <c r="K18" s="133" t="s">
        <v>5</v>
      </c>
      <c r="L18" s="133" t="s">
        <v>5</v>
      </c>
      <c r="M18" s="132"/>
      <c r="N18" s="131"/>
    </row>
    <row r="19" ht="24.95" customHeight="1">
      <c r="B19" s="136" t="s">
        <v>124</v>
      </c>
      <c r="C19" s="135" t="s">
        <v>125</v>
      </c>
      <c r="D19" s="134" t="s">
        <v>126</v>
      </c>
      <c r="E19" s="134" t="s">
        <v>127</v>
      </c>
      <c r="F19" s="128">
        <v>8</v>
      </c>
      <c r="G19" s="133">
        <v>8</v>
      </c>
      <c r="H19" s="133" t="s">
        <v>5</v>
      </c>
      <c r="I19" s="133" t="s">
        <v>5</v>
      </c>
      <c r="J19" s="133" t="s">
        <v>5</v>
      </c>
      <c r="K19" s="133" t="s">
        <v>5</v>
      </c>
      <c r="L19" s="133" t="s">
        <v>5</v>
      </c>
      <c r="M19" s="132"/>
      <c r="N19" s="131"/>
    </row>
    <row r="20" ht="24.95" customHeight="1">
      <c r="B20" s="136" t="s">
        <v>124</v>
      </c>
      <c r="C20" s="135" t="s">
        <v>125</v>
      </c>
      <c r="D20" s="134" t="s">
        <v>126</v>
      </c>
      <c r="E20" s="134" t="s">
        <v>127</v>
      </c>
      <c r="F20" s="128">
        <v>8</v>
      </c>
      <c r="G20" s="133">
        <v>8</v>
      </c>
      <c r="H20" s="133" t="s">
        <v>5</v>
      </c>
      <c r="I20" s="133" t="s">
        <v>5</v>
      </c>
      <c r="J20" s="133" t="s">
        <v>5</v>
      </c>
      <c r="K20" s="133" t="s">
        <v>5</v>
      </c>
      <c r="L20" s="133" t="s">
        <v>5</v>
      </c>
      <c r="M20" s="132"/>
      <c r="N20" s="131"/>
    </row>
    <row r="21" ht="24.95" customHeight="1">
      <c r="B21" s="136" t="s">
        <v>124</v>
      </c>
      <c r="C21" s="135" t="s">
        <v>125</v>
      </c>
      <c r="D21" s="134" t="s">
        <v>126</v>
      </c>
      <c r="E21" s="134" t="s">
        <v>127</v>
      </c>
      <c r="F21" s="128">
        <v>8</v>
      </c>
      <c r="G21" s="133">
        <v>8</v>
      </c>
      <c r="H21" s="133" t="s">
        <v>5</v>
      </c>
      <c r="I21" s="133" t="s">
        <v>5</v>
      </c>
      <c r="J21" s="133" t="s">
        <v>5</v>
      </c>
      <c r="K21" s="133" t="s">
        <v>5</v>
      </c>
      <c r="L21" s="133" t="s">
        <v>5</v>
      </c>
      <c r="M21" s="132"/>
      <c r="N21" s="131"/>
    </row>
    <row r="22" ht="24.95" customHeight="1">
      <c r="B22" s="136" t="s">
        <v>124</v>
      </c>
      <c r="C22" s="135" t="s">
        <v>125</v>
      </c>
      <c r="D22" s="134" t="s">
        <v>126</v>
      </c>
      <c r="E22" s="134" t="s">
        <v>127</v>
      </c>
      <c r="F22" s="128">
        <v>8</v>
      </c>
      <c r="G22" s="133">
        <v>8</v>
      </c>
      <c r="H22" s="133" t="s">
        <v>5</v>
      </c>
      <c r="I22" s="133" t="s">
        <v>5</v>
      </c>
      <c r="J22" s="133" t="s">
        <v>5</v>
      </c>
      <c r="K22" s="133" t="s">
        <v>5</v>
      </c>
      <c r="L22" s="133" t="s">
        <v>5</v>
      </c>
      <c r="M22" s="132"/>
      <c r="N22" s="131"/>
    </row>
    <row r="23" ht="24.95" customHeight="1">
      <c r="B23" s="136" t="s">
        <v>124</v>
      </c>
      <c r="C23" s="135" t="s">
        <v>125</v>
      </c>
      <c r="D23" s="134" t="s">
        <v>126</v>
      </c>
      <c r="E23" s="134" t="s">
        <v>127</v>
      </c>
      <c r="F23" s="128">
        <v>8</v>
      </c>
      <c r="G23" s="133">
        <v>8</v>
      </c>
      <c r="H23" s="133" t="s">
        <v>5</v>
      </c>
      <c r="I23" s="133" t="s">
        <v>5</v>
      </c>
      <c r="J23" s="133" t="s">
        <v>5</v>
      </c>
      <c r="K23" s="133" t="s">
        <v>5</v>
      </c>
      <c r="L23" s="133" t="s">
        <v>5</v>
      </c>
      <c r="M23" s="132"/>
      <c r="N23" s="131"/>
    </row>
    <row r="24" ht="24.95" customHeight="1">
      <c r="B24" s="136" t="s">
        <v>124</v>
      </c>
      <c r="C24" s="135" t="s">
        <v>125</v>
      </c>
      <c r="D24" s="134" t="s">
        <v>126</v>
      </c>
      <c r="E24" s="134" t="s">
        <v>127</v>
      </c>
      <c r="F24" s="128">
        <v>8</v>
      </c>
      <c r="G24" s="133">
        <v>8</v>
      </c>
      <c r="H24" s="133" t="s">
        <v>5</v>
      </c>
      <c r="I24" s="133" t="s">
        <v>5</v>
      </c>
      <c r="J24" s="133" t="s">
        <v>5</v>
      </c>
      <c r="K24" s="133" t="s">
        <v>5</v>
      </c>
      <c r="L24" s="133" t="s">
        <v>5</v>
      </c>
      <c r="M24" s="132"/>
      <c r="N24" s="131"/>
    </row>
    <row r="25" ht="24.95" customHeight="1">
      <c r="B25" s="136" t="s">
        <v>124</v>
      </c>
      <c r="C25" s="135" t="s">
        <v>125</v>
      </c>
      <c r="D25" s="134" t="s">
        <v>126</v>
      </c>
      <c r="E25" s="134" t="s">
        <v>127</v>
      </c>
      <c r="F25" s="128">
        <v>8</v>
      </c>
      <c r="G25" s="133">
        <v>8</v>
      </c>
      <c r="H25" s="133" t="s">
        <v>5</v>
      </c>
      <c r="I25" s="133" t="s">
        <v>5</v>
      </c>
      <c r="J25" s="133" t="s">
        <v>5</v>
      </c>
      <c r="K25" s="133" t="s">
        <v>5</v>
      </c>
      <c r="L25" s="133" t="s">
        <v>5</v>
      </c>
      <c r="M25" s="132"/>
      <c r="N25" s="131"/>
    </row>
    <row r="26" ht="24.95" customHeight="1">
      <c r="B26" s="136" t="s">
        <v>124</v>
      </c>
      <c r="C26" s="135" t="s">
        <v>125</v>
      </c>
      <c r="D26" s="134" t="s">
        <v>126</v>
      </c>
      <c r="E26" s="134" t="s">
        <v>127</v>
      </c>
      <c r="F26" s="128">
        <v>8</v>
      </c>
      <c r="G26" s="133">
        <v>8</v>
      </c>
      <c r="H26" s="133" t="s">
        <v>5</v>
      </c>
      <c r="I26" s="133" t="s">
        <v>5</v>
      </c>
      <c r="J26" s="133" t="s">
        <v>5</v>
      </c>
      <c r="K26" s="133" t="s">
        <v>5</v>
      </c>
      <c r="L26" s="133" t="s">
        <v>5</v>
      </c>
      <c r="M26" s="132"/>
      <c r="N26" s="131"/>
    </row>
    <row r="27" ht="24.95" customHeight="1">
      <c r="B27" s="136" t="s">
        <v>124</v>
      </c>
      <c r="C27" s="135" t="s">
        <v>125</v>
      </c>
      <c r="D27" s="134" t="s">
        <v>126</v>
      </c>
      <c r="E27" s="134" t="s">
        <v>127</v>
      </c>
      <c r="F27" s="128">
        <v>8</v>
      </c>
      <c r="G27" s="133">
        <v>8</v>
      </c>
      <c r="H27" s="133" t="s">
        <v>5</v>
      </c>
      <c r="I27" s="133" t="s">
        <v>5</v>
      </c>
      <c r="J27" s="133" t="s">
        <v>5</v>
      </c>
      <c r="K27" s="133" t="s">
        <v>5</v>
      </c>
      <c r="L27" s="133" t="s">
        <v>5</v>
      </c>
      <c r="M27" s="132"/>
      <c r="N27" s="131"/>
    </row>
    <row r="28" ht="24.95" customHeight="1">
      <c r="B28" s="136" t="s">
        <v>124</v>
      </c>
      <c r="C28" s="135" t="s">
        <v>125</v>
      </c>
      <c r="D28" s="134" t="s">
        <v>126</v>
      </c>
      <c r="E28" s="134" t="s">
        <v>127</v>
      </c>
      <c r="F28" s="128">
        <v>8</v>
      </c>
      <c r="G28" s="133">
        <v>8</v>
      </c>
      <c r="H28" s="133" t="s">
        <v>5</v>
      </c>
      <c r="I28" s="133" t="s">
        <v>5</v>
      </c>
      <c r="J28" s="133" t="s">
        <v>5</v>
      </c>
      <c r="K28" s="133" t="s">
        <v>5</v>
      </c>
      <c r="L28" s="133" t="s">
        <v>5</v>
      </c>
      <c r="M28" s="132"/>
      <c r="N28" s="131"/>
    </row>
    <row r="29" ht="24.95" customHeight="1">
      <c r="B29" s="136" t="s">
        <v>124</v>
      </c>
      <c r="C29" s="135" t="s">
        <v>125</v>
      </c>
      <c r="D29" s="134" t="s">
        <v>126</v>
      </c>
      <c r="E29" s="134" t="s">
        <v>127</v>
      </c>
      <c r="F29" s="128">
        <v>8</v>
      </c>
      <c r="G29" s="133">
        <v>8</v>
      </c>
      <c r="H29" s="133" t="s">
        <v>5</v>
      </c>
      <c r="I29" s="133" t="s">
        <v>5</v>
      </c>
      <c r="J29" s="133" t="s">
        <v>5</v>
      </c>
      <c r="K29" s="133" t="s">
        <v>5</v>
      </c>
      <c r="L29" s="133" t="s">
        <v>5</v>
      </c>
      <c r="M29" s="132"/>
      <c r="N29" s="131"/>
    </row>
    <row r="30" ht="24.95" customHeight="1">
      <c r="B30" s="136" t="s">
        <v>124</v>
      </c>
      <c r="C30" s="135" t="s">
        <v>125</v>
      </c>
      <c r="D30" s="134" t="s">
        <v>126</v>
      </c>
      <c r="E30" s="134" t="s">
        <v>127</v>
      </c>
      <c r="F30" s="128">
        <v>8</v>
      </c>
      <c r="G30" s="133">
        <v>8</v>
      </c>
      <c r="H30" s="133" t="s">
        <v>5</v>
      </c>
      <c r="I30" s="133" t="s">
        <v>5</v>
      </c>
      <c r="J30" s="133" t="s">
        <v>5</v>
      </c>
      <c r="K30" s="133" t="s">
        <v>5</v>
      </c>
      <c r="L30" s="133" t="s">
        <v>5</v>
      </c>
      <c r="M30" s="132"/>
      <c r="N30" s="131"/>
    </row>
    <row r="31" ht="24.95" customHeight="1">
      <c r="B31" s="136" t="s">
        <v>124</v>
      </c>
      <c r="C31" s="135" t="s">
        <v>125</v>
      </c>
      <c r="D31" s="134" t="s">
        <v>126</v>
      </c>
      <c r="E31" s="134" t="s">
        <v>127</v>
      </c>
      <c r="F31" s="128">
        <v>8</v>
      </c>
      <c r="G31" s="133">
        <v>8</v>
      </c>
      <c r="H31" s="133" t="s">
        <v>5</v>
      </c>
      <c r="I31" s="133" t="s">
        <v>5</v>
      </c>
      <c r="J31" s="133" t="s">
        <v>5</v>
      </c>
      <c r="K31" s="133" t="s">
        <v>5</v>
      </c>
      <c r="L31" s="133" t="s">
        <v>5</v>
      </c>
      <c r="M31" s="132"/>
      <c r="N31" s="131"/>
    </row>
    <row r="32" ht="24.95" customHeight="1">
      <c r="B32" s="136" t="s">
        <v>124</v>
      </c>
      <c r="C32" s="135" t="s">
        <v>125</v>
      </c>
      <c r="D32" s="134" t="s">
        <v>126</v>
      </c>
      <c r="E32" s="134" t="s">
        <v>127</v>
      </c>
      <c r="F32" s="128">
        <v>8</v>
      </c>
      <c r="G32" s="133">
        <v>8</v>
      </c>
      <c r="H32" s="133" t="s">
        <v>5</v>
      </c>
      <c r="I32" s="133" t="s">
        <v>5</v>
      </c>
      <c r="J32" s="133" t="s">
        <v>5</v>
      </c>
      <c r="K32" s="133" t="s">
        <v>5</v>
      </c>
      <c r="L32" s="133" t="s">
        <v>5</v>
      </c>
      <c r="M32" s="132"/>
      <c r="N32" s="131"/>
    </row>
    <row r="33" ht="24.95" customHeight="1">
      <c r="B33" s="136" t="s">
        <v>124</v>
      </c>
      <c r="C33" s="135" t="s">
        <v>125</v>
      </c>
      <c r="D33" s="134" t="s">
        <v>126</v>
      </c>
      <c r="E33" s="134" t="s">
        <v>127</v>
      </c>
      <c r="F33" s="128">
        <v>8</v>
      </c>
      <c r="G33" s="133">
        <v>8</v>
      </c>
      <c r="H33" s="133" t="s">
        <v>5</v>
      </c>
      <c r="I33" s="133" t="s">
        <v>5</v>
      </c>
      <c r="J33" s="133" t="s">
        <v>5</v>
      </c>
      <c r="K33" s="133" t="s">
        <v>5</v>
      </c>
      <c r="L33" s="133" t="s">
        <v>5</v>
      </c>
      <c r="M33" s="132"/>
      <c r="N33" s="131"/>
    </row>
    <row r="34" ht="24.95" customHeight="1">
      <c r="B34" s="136" t="s">
        <v>124</v>
      </c>
      <c r="C34" s="135" t="s">
        <v>125</v>
      </c>
      <c r="D34" s="134" t="s">
        <v>126</v>
      </c>
      <c r="E34" s="134" t="s">
        <v>127</v>
      </c>
      <c r="F34" s="128">
        <v>8</v>
      </c>
      <c r="G34" s="133">
        <v>8</v>
      </c>
      <c r="H34" s="133" t="s">
        <v>5</v>
      </c>
      <c r="I34" s="133" t="s">
        <v>5</v>
      </c>
      <c r="J34" s="133" t="s">
        <v>5</v>
      </c>
      <c r="K34" s="133" t="s">
        <v>5</v>
      </c>
      <c r="L34" s="133" t="s">
        <v>5</v>
      </c>
      <c r="M34" s="132"/>
      <c r="N34" s="131"/>
    </row>
    <row r="35" ht="24.95" customHeight="1">
      <c r="B35" s="136" t="s">
        <v>124</v>
      </c>
      <c r="C35" s="135" t="s">
        <v>125</v>
      </c>
      <c r="D35" s="134" t="s">
        <v>126</v>
      </c>
      <c r="E35" s="134" t="s">
        <v>127</v>
      </c>
      <c r="F35" s="128">
        <v>8</v>
      </c>
      <c r="G35" s="133">
        <v>8</v>
      </c>
      <c r="H35" s="133" t="s">
        <v>5</v>
      </c>
      <c r="I35" s="133" t="s">
        <v>5</v>
      </c>
      <c r="J35" s="133" t="s">
        <v>5</v>
      </c>
      <c r="K35" s="133" t="s">
        <v>5</v>
      </c>
      <c r="L35" s="133" t="s">
        <v>5</v>
      </c>
      <c r="M35" s="132"/>
      <c r="N35" s="131"/>
    </row>
    <row r="36" ht="24.95" customHeight="1">
      <c r="B36" s="136" t="s">
        <v>124</v>
      </c>
      <c r="C36" s="135" t="s">
        <v>125</v>
      </c>
      <c r="D36" s="134" t="s">
        <v>126</v>
      </c>
      <c r="E36" s="134" t="s">
        <v>127</v>
      </c>
      <c r="F36" s="128">
        <v>8</v>
      </c>
      <c r="G36" s="133">
        <v>8</v>
      </c>
      <c r="H36" s="133" t="s">
        <v>5</v>
      </c>
      <c r="I36" s="133" t="s">
        <v>5</v>
      </c>
      <c r="J36" s="133" t="s">
        <v>5</v>
      </c>
      <c r="K36" s="133" t="s">
        <v>5</v>
      </c>
      <c r="L36" s="133" t="s">
        <v>5</v>
      </c>
      <c r="M36" s="132"/>
      <c r="N36" s="131"/>
    </row>
    <row r="37" ht="24.95" customHeight="1">
      <c r="B37" s="136" t="s">
        <v>124</v>
      </c>
      <c r="C37" s="135" t="s">
        <v>125</v>
      </c>
      <c r="D37" s="134" t="s">
        <v>126</v>
      </c>
      <c r="E37" s="134" t="s">
        <v>127</v>
      </c>
      <c r="F37" s="128">
        <v>8</v>
      </c>
      <c r="G37" s="133">
        <v>8</v>
      </c>
      <c r="H37" s="133" t="s">
        <v>5</v>
      </c>
      <c r="I37" s="133" t="s">
        <v>5</v>
      </c>
      <c r="J37" s="133" t="s">
        <v>5</v>
      </c>
      <c r="K37" s="133" t="s">
        <v>5</v>
      </c>
      <c r="L37" s="133" t="s">
        <v>5</v>
      </c>
      <c r="M37" s="132"/>
      <c r="N37" s="131"/>
    </row>
    <row r="38" ht="24.95" customHeight="1">
      <c r="B38" s="136" t="s">
        <v>124</v>
      </c>
      <c r="C38" s="135" t="s">
        <v>125</v>
      </c>
      <c r="D38" s="134" t="s">
        <v>126</v>
      </c>
      <c r="E38" s="134" t="s">
        <v>127</v>
      </c>
      <c r="F38" s="128">
        <v>8</v>
      </c>
      <c r="G38" s="133">
        <v>8</v>
      </c>
      <c r="H38" s="133" t="s">
        <v>5</v>
      </c>
      <c r="I38" s="133" t="s">
        <v>5</v>
      </c>
      <c r="J38" s="133" t="s">
        <v>5</v>
      </c>
      <c r="K38" s="133" t="s">
        <v>5</v>
      </c>
      <c r="L38" s="133" t="s">
        <v>5</v>
      </c>
      <c r="M38" s="132"/>
      <c r="N38" s="131"/>
    </row>
    <row r="39" ht="24.95" customHeight="1">
      <c r="B39" s="136" t="s">
        <v>124</v>
      </c>
      <c r="C39" s="135" t="s">
        <v>125</v>
      </c>
      <c r="D39" s="134" t="s">
        <v>126</v>
      </c>
      <c r="E39" s="134" t="s">
        <v>127</v>
      </c>
      <c r="F39" s="128">
        <v>8</v>
      </c>
      <c r="G39" s="133">
        <v>8</v>
      </c>
      <c r="H39" s="133" t="s">
        <v>5</v>
      </c>
      <c r="I39" s="133" t="s">
        <v>5</v>
      </c>
      <c r="J39" s="133" t="s">
        <v>5</v>
      </c>
      <c r="K39" s="133" t="s">
        <v>5</v>
      </c>
      <c r="L39" s="133" t="s">
        <v>5</v>
      </c>
      <c r="M39" s="132"/>
      <c r="N39" s="131"/>
    </row>
    <row r="40" ht="24.95" customHeight="1">
      <c r="B40" s="136" t="s">
        <v>124</v>
      </c>
      <c r="C40" s="135" t="s">
        <v>125</v>
      </c>
      <c r="D40" s="134" t="s">
        <v>126</v>
      </c>
      <c r="E40" s="134" t="s">
        <v>127</v>
      </c>
      <c r="F40" s="128">
        <v>8</v>
      </c>
      <c r="G40" s="133">
        <v>8</v>
      </c>
      <c r="H40" s="133" t="s">
        <v>5</v>
      </c>
      <c r="I40" s="133" t="s">
        <v>5</v>
      </c>
      <c r="J40" s="133" t="s">
        <v>5</v>
      </c>
      <c r="K40" s="133" t="s">
        <v>5</v>
      </c>
      <c r="L40" s="133" t="s">
        <v>5</v>
      </c>
      <c r="M40" s="132"/>
      <c r="N40" s="131"/>
    </row>
    <row r="41" ht="24.95" customHeight="1">
      <c r="B41" s="136" t="s">
        <v>124</v>
      </c>
      <c r="C41" s="135" t="s">
        <v>125</v>
      </c>
      <c r="D41" s="134" t="s">
        <v>126</v>
      </c>
      <c r="E41" s="134" t="s">
        <v>127</v>
      </c>
      <c r="F41" s="128">
        <v>8</v>
      </c>
      <c r="G41" s="133">
        <v>8</v>
      </c>
      <c r="H41" s="133" t="s">
        <v>5</v>
      </c>
      <c r="I41" s="133" t="s">
        <v>5</v>
      </c>
      <c r="J41" s="133" t="s">
        <v>5</v>
      </c>
      <c r="K41" s="133" t="s">
        <v>5</v>
      </c>
      <c r="L41" s="133" t="s">
        <v>5</v>
      </c>
      <c r="M41" s="132"/>
      <c r="N41" s="131"/>
    </row>
    <row r="42" ht="24.95" customHeight="1">
      <c r="B42" s="136" t="s">
        <v>124</v>
      </c>
      <c r="C42" s="135" t="s">
        <v>125</v>
      </c>
      <c r="D42" s="134" t="s">
        <v>126</v>
      </c>
      <c r="E42" s="134" t="s">
        <v>127</v>
      </c>
      <c r="F42" s="128">
        <v>8</v>
      </c>
      <c r="G42" s="133">
        <v>8</v>
      </c>
      <c r="H42" s="133" t="s">
        <v>5</v>
      </c>
      <c r="I42" s="133" t="s">
        <v>5</v>
      </c>
      <c r="J42" s="133" t="s">
        <v>5</v>
      </c>
      <c r="K42" s="133" t="s">
        <v>5</v>
      </c>
      <c r="L42" s="133" t="s">
        <v>5</v>
      </c>
      <c r="M42" s="132"/>
      <c r="N42" s="131"/>
    </row>
    <row r="43" ht="24.95" customHeight="1">
      <c r="B43" s="136" t="s">
        <v>124</v>
      </c>
      <c r="C43" s="135" t="s">
        <v>125</v>
      </c>
      <c r="D43" s="134" t="s">
        <v>126</v>
      </c>
      <c r="E43" s="134" t="s">
        <v>127</v>
      </c>
      <c r="F43" s="128">
        <v>8</v>
      </c>
      <c r="G43" s="133">
        <v>8</v>
      </c>
      <c r="H43" s="133" t="s">
        <v>5</v>
      </c>
      <c r="I43" s="133" t="s">
        <v>5</v>
      </c>
      <c r="J43" s="133" t="s">
        <v>5</v>
      </c>
      <c r="K43" s="133" t="s">
        <v>5</v>
      </c>
      <c r="L43" s="133" t="s">
        <v>5</v>
      </c>
      <c r="M43" s="132"/>
      <c r="N43" s="131"/>
    </row>
    <row r="44" ht="30" customHeight="1">
      <c r="B44" s="130"/>
      <c r="C44" s="129"/>
      <c r="D44" s="210" t="s">
        <v>25</v>
      </c>
      <c r="E44" s="210"/>
      <c r="F44" s="128">
        <f>SUM(F14:F25)</f>
      </c>
      <c r="G44" s="128">
        <f>SUM(G14:G25)</f>
      </c>
      <c r="H44" s="128">
        <f>SUM(H14:H25)</f>
      </c>
      <c r="I44" s="128">
        <f>SUM(I14:I25)</f>
      </c>
      <c r="J44" s="128">
        <f>SUM(J14:J25)</f>
      </c>
      <c r="K44" s="128">
        <f>SUM(K14:K25)</f>
      </c>
      <c r="L44" s="128">
        <f>SUM(L14:L25)</f>
      </c>
      <c r="M44" s="196">
        <f>SUM(M14:M25)</f>
      </c>
    </row>
    <row r="45" ht="15" customHeight="1">
      <c r="B45" s="127"/>
      <c r="D45" s="126"/>
      <c r="E45" s="126"/>
      <c r="F45" s="125"/>
      <c r="G45" s="125"/>
      <c r="H45" s="125"/>
      <c r="I45" s="125"/>
      <c r="J45" s="125"/>
      <c r="K45" s="125"/>
      <c r="L45" s="125"/>
      <c r="M45" s="105"/>
    </row>
    <row r="46" ht="10.5" customHeight="1" thickBot="1">
      <c r="B46" s="100"/>
      <c r="C46" s="124"/>
      <c r="D46" s="123"/>
      <c r="E46" s="123"/>
      <c r="F46" s="122"/>
      <c r="G46" s="122"/>
      <c r="H46" s="122"/>
      <c r="I46" s="122"/>
      <c r="J46" s="122"/>
      <c r="K46" s="122"/>
      <c r="L46" s="122"/>
      <c r="M46" s="121"/>
    </row>
    <row r="47" ht="24.95" customHeight="1">
      <c r="B47" s="120" t="s">
        <v>128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8"/>
      <c r="N47" s="115"/>
      <c r="O47" s="115"/>
    </row>
    <row r="48" ht="24.95" customHeight="1">
      <c r="B48" s="117" t="s">
        <v>129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6"/>
      <c r="N48" s="115"/>
      <c r="O48" s="115"/>
    </row>
    <row r="49" ht="24.95" customHeight="1">
      <c r="B49" s="117" t="s">
        <v>130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6"/>
      <c r="N49" s="115"/>
      <c r="O49" s="115"/>
    </row>
    <row r="50" ht="24.95" customHeight="1">
      <c r="B50" s="167" t="s">
        <v>131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6"/>
      <c r="N50" s="115"/>
      <c r="O50" s="115"/>
    </row>
    <row r="51" ht="24.95" customHeight="1">
      <c r="B51" s="167" t="s">
        <v>132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6"/>
      <c r="N51" s="115"/>
      <c r="O51" s="115"/>
    </row>
    <row r="52" ht="24.95" customHeight="1">
      <c r="B52" s="168" t="s">
        <v>133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6"/>
      <c r="N52" s="115"/>
      <c r="O52" s="115"/>
    </row>
    <row r="53" ht="24.95" customHeight="1" thickBot="1">
      <c r="B53" s="117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6"/>
      <c r="N53" s="115"/>
      <c r="O53" s="115"/>
    </row>
    <row r="54" ht="20.100000000000001" customHeight="1" thickBot="1">
      <c r="B54" s="114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7"/>
    </row>
    <row r="55" ht="24.75" customHeight="1">
      <c r="B55" s="113" t="s">
        <v>134</v>
      </c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1"/>
    </row>
    <row r="56" ht="24.75" customHeight="1">
      <c r="B56" s="110" t="s">
        <v>135</v>
      </c>
      <c r="M56" s="105"/>
    </row>
    <row r="57" ht="24.75" customHeight="1">
      <c r="B57" s="110"/>
      <c r="M57" s="105"/>
    </row>
    <row r="58" ht="24.75" customHeight="1" thickBot="1">
      <c r="B58" s="110"/>
      <c r="M58" s="105"/>
    </row>
    <row r="59" ht="30" customHeight="1" thickBot="1">
      <c r="B59" s="109" t="s">
        <v>136</v>
      </c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7"/>
    </row>
    <row r="60" ht="64.150000000000006" customHeight="1">
      <c r="B60" s="211"/>
      <c r="C60" s="212"/>
      <c r="D60" s="212"/>
      <c r="E60" s="212"/>
      <c r="F60" s="212"/>
      <c r="G60" s="213"/>
      <c r="H60" s="217"/>
      <c r="I60" s="218"/>
      <c r="J60" s="218"/>
      <c r="K60" s="218"/>
      <c r="L60" s="218"/>
      <c r="M60" s="219"/>
      <c r="N60" s="106"/>
    </row>
    <row r="61" ht="30" customHeight="1">
      <c r="B61" s="214"/>
      <c r="C61" s="215"/>
      <c r="D61" s="215"/>
      <c r="E61" s="215"/>
      <c r="F61" s="215"/>
      <c r="G61" s="216"/>
      <c r="H61" s="220"/>
      <c r="I61" s="221"/>
      <c r="J61" s="221"/>
      <c r="K61" s="221"/>
      <c r="L61" s="221"/>
      <c r="M61" s="222"/>
      <c r="N61" s="106"/>
    </row>
    <row r="62" ht="58.15" customHeight="1" thickBot="1">
      <c r="A62" s="105"/>
      <c r="B62" s="223" t="s">
        <v>97</v>
      </c>
      <c r="C62" s="224"/>
      <c r="D62" s="224"/>
      <c r="E62" s="224"/>
      <c r="F62" s="224"/>
      <c r="G62" s="225"/>
      <c r="H62" s="223" t="s">
        <v>137</v>
      </c>
      <c r="I62" s="224"/>
      <c r="J62" s="224"/>
      <c r="K62" s="224"/>
      <c r="L62" s="224"/>
      <c r="M62" s="225"/>
      <c r="N62" s="104"/>
    </row>
    <row r="64" s="103" customFormat="1" ht="3" customHeight="1">
      <c r="A64" s="99"/>
      <c r="N64" s="102"/>
    </row>
    <row r="65" ht="31.15" customHeight="1">
      <c r="B65" s="233" t="s">
        <v>78</v>
      </c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102"/>
    </row>
    <row r="66" ht="21.6" customHeight="1">
      <c r="B66" s="209" t="s">
        <v>79</v>
      </c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101"/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44:E44"/>
    <mergeCell ref="B60:G61"/>
    <mergeCell ref="H60:M61"/>
    <mergeCell ref="B62:G62"/>
    <mergeCell ref="H62:M62"/>
    <mergeCell ref="B65:M65"/>
    <mergeCell ref="B66:M6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6.xml><?xml version="1.0" encoding="utf-8"?>
<worksheet xmlns="http://schemas.openxmlformats.org/spreadsheetml/2006/main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>
      <c r="B17" s="178"/>
      <c r="C17" s="179"/>
      <c r="J17" s="199"/>
      <c r="K17" s="197"/>
      <c r="L17" s="198"/>
    </row>
    <row r="18">
      <c r="B18" s="178"/>
      <c r="C18" s="179"/>
      <c r="J18" s="199"/>
      <c r="K18" s="197"/>
      <c r="L18" s="198"/>
    </row>
    <row r="19">
      <c r="C19" s="180"/>
      <c r="J19" s="199"/>
      <c r="K19" s="197"/>
      <c r="L19" s="198"/>
    </row>
    <row r="20">
      <c r="B20" s="181"/>
      <c r="C20" s="182"/>
      <c r="J20" s="199"/>
      <c r="K20" s="197"/>
      <c r="L20" s="198"/>
    </row>
    <row r="21">
      <c r="J21" s="199"/>
      <c r="K21" s="197"/>
      <c r="L21" s="198"/>
    </row>
    <row r="22">
      <c r="B22" s="91"/>
      <c r="J22" s="199"/>
      <c r="K22" s="197"/>
      <c r="L22" s="198"/>
    </row>
    <row r="23">
      <c r="J23" s="199"/>
      <c r="K23" s="197"/>
      <c r="L23" s="198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